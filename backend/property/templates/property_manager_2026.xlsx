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rty Management Overview" sheetId="1" r:id="rId5"/>
    <sheet state="visible" name="Harga+Biaya Perolehan" sheetId="2" r:id="rId6"/>
    <sheet state="visible" name="YALE 2516" sheetId="3" r:id="rId7"/>
    <sheet state="visible" name="YALE 0111" sheetId="4" r:id="rId8"/>
    <sheet state="visible" name="YALE 0727" sheetId="5" r:id="rId9"/>
    <sheet state="visible" name="YALE 0728" sheetId="6" r:id="rId10"/>
    <sheet state="visible" name="Amega Crown A8-10" sheetId="7" r:id="rId11"/>
    <sheet state="visible" name="Property 6" sheetId="8" r:id="rId12"/>
    <sheet state="visible" name="Property 7" sheetId="9" r:id="rId13"/>
    <sheet state="visible" name="Property 8" sheetId="10" r:id="rId14"/>
    <sheet state="visible" name="Property 9" sheetId="11" r:id="rId15"/>
    <sheet state="visible" name="Property 10" sheetId="12" r:id="rId16"/>
    <sheet state="visible" name="Property 11" sheetId="13" r:id="rId17"/>
    <sheet state="visible" name="Property 12" sheetId="14" r:id="rId18"/>
    <sheet state="visible" name="- Disclaimer -" sheetId="15" r:id="rId19"/>
  </sheets>
  <definedNames/>
  <calcPr/>
</workbook>
</file>

<file path=xl/sharedStrings.xml><?xml version="1.0" encoding="utf-8"?>
<sst xmlns="http://schemas.openxmlformats.org/spreadsheetml/2006/main" count="533" uniqueCount="100">
  <si>
    <t xml:space="preserve"> </t>
  </si>
  <si>
    <t xml:space="preserve">PROPERTY MANAGEMENT SPREADSHEET </t>
  </si>
  <si>
    <t>MULTI-PROPERTY OVERVIEW</t>
  </si>
  <si>
    <t xml:space="preserve">Enter data on individual property sheets. Overview information will populate automatically.  </t>
  </si>
  <si>
    <t>INCOME</t>
  </si>
  <si>
    <t>YALE 2516</t>
  </si>
  <si>
    <t>YALE 0111</t>
  </si>
  <si>
    <t>YALE 0727</t>
  </si>
  <si>
    <t>YALE 0728</t>
  </si>
  <si>
    <t>Amega Crown A8-10</t>
  </si>
  <si>
    <t>YTD TOTAL</t>
  </si>
  <si>
    <t>MULTI-PROPERTY INCOME OVERVIEW</t>
  </si>
  <si>
    <t>RENTAL INCOME</t>
  </si>
  <si>
    <r>
      <rPr>
        <rFont val="Century Gothic"/>
        <color theme="1"/>
        <sz val="10.0"/>
      </rPr>
      <t>OTHER RENTAL INCOME</t>
    </r>
    <r>
      <rPr>
        <rFont val="Century Gothic"/>
        <color theme="1"/>
        <sz val="9.0"/>
      </rPr>
      <t xml:space="preserve">  – Late Fees, Etc.</t>
    </r>
  </si>
  <si>
    <t>GROSS RENTAL INCOME</t>
  </si>
  <si>
    <t>EXPENSES</t>
  </si>
  <si>
    <t>MULTI-PROPERTY EXPENSES OVERVIEW</t>
  </si>
  <si>
    <t>MARKETING / ADVERTISING</t>
  </si>
  <si>
    <t>SERVICE CHARGE</t>
  </si>
  <si>
    <t>AGENT FEES / COMMISSIONS</t>
  </si>
  <si>
    <t>AIR+LISTRIK</t>
  </si>
  <si>
    <t>INTERIOR MAINTENANCE</t>
  </si>
  <si>
    <t>INTERIOR REPAIRS</t>
  </si>
  <si>
    <t>HOUSEKEEPING</t>
  </si>
  <si>
    <t>EXTERIOR MAINTENANCE</t>
  </si>
  <si>
    <t>EXTERIOR REPAIRS</t>
  </si>
  <si>
    <t>GROUNDSKEEPING</t>
  </si>
  <si>
    <t>AIR +LISTRIK</t>
  </si>
  <si>
    <t>GAS</t>
  </si>
  <si>
    <t>INSURANCE</t>
  </si>
  <si>
    <t>SEWAGE</t>
  </si>
  <si>
    <t>REFUSE</t>
  </si>
  <si>
    <r>
      <rPr>
        <rFont val="Century Gothic"/>
        <color theme="1"/>
        <sz val="10.0"/>
      </rPr>
      <t>CORRESPONDENCE</t>
    </r>
    <r>
      <rPr>
        <rFont val="Century Gothic"/>
        <color theme="1"/>
        <sz val="9.0"/>
      </rPr>
      <t xml:space="preserve"> - Postage, Stationery, Phone, Etc.</t>
    </r>
  </si>
  <si>
    <t>CARETAKER FEES / SALARY</t>
  </si>
  <si>
    <t>TRAVEL EXPENSES</t>
  </si>
  <si>
    <t>EQUIPMENT / APPLIANCE PURCHASES</t>
  </si>
  <si>
    <t>EQUIPMENT / APPLIANCE RENTAL FEES</t>
  </si>
  <si>
    <t>LAND TAX</t>
  </si>
  <si>
    <t>BORROWING EXPENSES</t>
  </si>
  <si>
    <t>LOAN(S) INTEREST</t>
  </si>
  <si>
    <t>OTHER</t>
  </si>
  <si>
    <t>TOTAL EXPENSES</t>
  </si>
  <si>
    <t>YEAR-TO-DATE INCOME LESS EXPENSES</t>
  </si>
  <si>
    <t>CLICK HERE TO CREATE IN SMARTSHEET</t>
  </si>
  <si>
    <t>Unit</t>
  </si>
  <si>
    <t>Harga</t>
  </si>
  <si>
    <t>BPHTB</t>
  </si>
  <si>
    <t>AJB+Balik Nama+PNBP</t>
  </si>
  <si>
    <t>Appraisal</t>
  </si>
  <si>
    <t>Perbaikan</t>
  </si>
  <si>
    <t>Total</t>
  </si>
  <si>
    <t>DP</t>
  </si>
  <si>
    <t>Tanggal AJB</t>
  </si>
  <si>
    <t>Pinjaman</t>
  </si>
  <si>
    <t>Lender</t>
  </si>
  <si>
    <t>Equity</t>
  </si>
  <si>
    <t>Cicilan bulanan</t>
  </si>
  <si>
    <t xml:space="preserve">Tenor </t>
  </si>
  <si>
    <t>Fee Bank (Asuransi+Admin+biaya notaris)</t>
  </si>
  <si>
    <t>Yale 2516</t>
  </si>
  <si>
    <t>Stockbit+OCBC PREMIER</t>
  </si>
  <si>
    <t>Yale 0111</t>
  </si>
  <si>
    <t>Mirae</t>
  </si>
  <si>
    <t>Yale 0728</t>
  </si>
  <si>
    <t>Papa</t>
  </si>
  <si>
    <t>BCA</t>
  </si>
  <si>
    <t>-</t>
  </si>
  <si>
    <t>Yale 0727</t>
  </si>
  <si>
    <t xml:space="preserve">Amega </t>
  </si>
  <si>
    <t>AC SINK GORDEN</t>
  </si>
  <si>
    <t>PROPERTY MANAGEMENT SPREADSHEET TEMPLATE</t>
  </si>
  <si>
    <t>YALE 10</t>
  </si>
  <si>
    <t>123 Main Street, City, State  10001</t>
  </si>
  <si>
    <t>JAN</t>
  </si>
  <si>
    <t>FEB</t>
  </si>
  <si>
    <t>MAR</t>
  </si>
  <si>
    <t>APR</t>
  </si>
  <si>
    <t>MAY</t>
  </si>
  <si>
    <t>JUN</t>
  </si>
  <si>
    <t>JUL</t>
  </si>
  <si>
    <t>AUG</t>
  </si>
  <si>
    <t>OCT</t>
  </si>
  <si>
    <t>NOV</t>
  </si>
  <si>
    <t>DEC</t>
  </si>
  <si>
    <t>YR TOTAL</t>
  </si>
  <si>
    <t>SEPT</t>
  </si>
  <si>
    <t>YEAR TO-DATE-INCOME LESS EXPENSES</t>
  </si>
  <si>
    <t xml:space="preserve">bilang sukron next 25jt nett </t>
  </si>
  <si>
    <t>8/1-8/2</t>
  </si>
  <si>
    <t>8/2-8/3</t>
  </si>
  <si>
    <t>parking access</t>
  </si>
  <si>
    <t>31/08/2023 - 30/09/2023</t>
  </si>
  <si>
    <t>PROPERTY 6 ADDRESS</t>
  </si>
  <si>
    <t>PROPERTY 7 ADDRESS</t>
  </si>
  <si>
    <t>PROPERTY 8 ADDRESS</t>
  </si>
  <si>
    <t>PROPERTY 9 ADDRESS</t>
  </si>
  <si>
    <t>PROPERTY 10 ADDRESS</t>
  </si>
  <si>
    <t>PROPERTY 11 ADDRESS</t>
  </si>
  <si>
    <t>PROPERTY 12 ADDRESS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</si>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</sst>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quot;* #,##0.00_);_(&quot;$&quot;* \(#,##0.00\);_(&quot;$&quot;* &quot;-&quot;??_);_(@_)"/>
    <numFmt numFmtId="165" formatCode="[$Rp]#,##0"/>
    <numFmt numFmtId="166" formatCode="m-d-yyyy"/>
    <numFmt numFmtId="167" formatCode="&quot;$&quot;#,##0.00"/>
  </numFmts>
  <fonts count="26">
    <font>
      <sz val="12.0"/>
      <color theme="1"/>
      <name val="Calibri"/>
      <scheme val="minor"/>
    </font>
    <font>
      <sz val="12.0"/>
      <color theme="1"/>
      <name val="Arial"/>
    </font>
    <font>
      <b/>
      <sz val="22.0"/>
      <color rgb="FF7F7F7F"/>
      <name val="Century Gothic"/>
    </font>
    <font>
      <b/>
      <sz val="22.0"/>
      <color rgb="FF816200"/>
      <name val="Century Gothic"/>
    </font>
    <font>
      <sz val="22.0"/>
      <color rgb="FF7F7F7F"/>
      <name val="Century Gothic"/>
    </font>
    <font>
      <sz val="12.0"/>
      <color theme="1"/>
      <name val="Century Gothic"/>
    </font>
    <font>
      <b/>
      <sz val="12.0"/>
      <color theme="1"/>
      <name val="Century Gothic"/>
    </font>
    <font>
      <b/>
      <sz val="18.0"/>
      <color rgb="FF306786"/>
      <name val="Century Gothic"/>
    </font>
    <font>
      <sz val="11.0"/>
      <color rgb="FF7F7F7F"/>
      <name val="Century Gothic"/>
    </font>
    <font>
      <sz val="12.0"/>
      <color theme="0"/>
      <name val="Century Gothic"/>
    </font>
    <font>
      <sz val="12.0"/>
      <color rgb="FFFFFFFF"/>
      <name val="Century Gothic"/>
    </font>
    <font>
      <sz val="12.0"/>
      <color theme="1"/>
      <name val="Calibri"/>
    </font>
    <font>
      <b/>
      <sz val="11.0"/>
      <color theme="1"/>
      <name val="Century Gothic"/>
    </font>
    <font>
      <sz val="10.0"/>
      <color theme="1"/>
      <name val="Calibri"/>
    </font>
    <font>
      <sz val="10.0"/>
      <color theme="1"/>
      <name val="Century Gothic"/>
    </font>
    <font>
      <b/>
      <sz val="10.0"/>
      <color theme="1"/>
      <name val="Century Gothic"/>
    </font>
    <font>
      <b/>
      <sz val="10.0"/>
      <color theme="0"/>
      <name val="Century Gothic"/>
    </font>
    <font>
      <sz val="10.0"/>
      <color theme="0"/>
      <name val="Century Gothic"/>
    </font>
    <font>
      <color theme="1"/>
      <name val="Calibri"/>
      <scheme val="minor"/>
    </font>
    <font>
      <b/>
      <sz val="22.0"/>
      <color theme="0"/>
      <name val="Century Gothic"/>
    </font>
    <font/>
    <font>
      <b/>
      <sz val="22.0"/>
      <color theme="1"/>
      <name val="Century Gothic"/>
    </font>
    <font>
      <b/>
      <sz val="14.0"/>
      <color rgb="FFFFFFFF"/>
      <name val="Century Gothic"/>
    </font>
    <font>
      <b/>
      <sz val="14.0"/>
      <color rgb="FF595959"/>
      <name val="Century Gothic"/>
    </font>
    <font>
      <sz val="10.0"/>
      <color rgb="FFFFFFFF"/>
      <name val="Century Gothic"/>
    </font>
    <font>
      <sz val="11.0"/>
      <color theme="1"/>
      <name val="Calibri"/>
    </font>
  </fonts>
  <fills count="21">
    <fill>
      <patternFill patternType="none"/>
    </fill>
    <fill>
      <patternFill patternType="lightGray"/>
    </fill>
    <fill>
      <patternFill patternType="solid">
        <fgColor rgb="FF204559"/>
        <bgColor rgb="FF204559"/>
      </patternFill>
    </fill>
    <fill>
      <patternFill patternType="solid">
        <fgColor rgb="FF535B13"/>
        <bgColor rgb="FF535B13"/>
      </patternFill>
    </fill>
    <fill>
      <patternFill patternType="solid">
        <fgColor rgb="FF7B4900"/>
        <bgColor rgb="FF7B4900"/>
      </patternFill>
    </fill>
    <fill>
      <patternFill patternType="solid">
        <fgColor rgb="FF414141"/>
        <bgColor rgb="FF414141"/>
      </patternFill>
    </fill>
    <fill>
      <patternFill patternType="solid">
        <fgColor rgb="FF816200"/>
        <bgColor rgb="FF816200"/>
      </patternFill>
    </fill>
    <fill>
      <patternFill patternType="solid">
        <fgColor rgb="FFD7E7F0"/>
        <bgColor rgb="FFD7E7F0"/>
      </patternFill>
    </fill>
    <fill>
      <patternFill patternType="solid">
        <fgColor theme="0"/>
        <bgColor theme="0"/>
      </patternFill>
    </fill>
    <fill>
      <patternFill patternType="solid">
        <fgColor rgb="FFE1EAA0"/>
        <bgColor rgb="FFE1EAA0"/>
      </patternFill>
    </fill>
    <fill>
      <patternFill patternType="solid">
        <fgColor rgb="FFFFD495"/>
        <bgColor rgb="FFFFD495"/>
      </patternFill>
    </fill>
    <fill>
      <patternFill patternType="solid">
        <fgColor rgb="FFCDCDCD"/>
        <bgColor rgb="FFCDCDCD"/>
      </patternFill>
    </fill>
    <fill>
      <patternFill patternType="solid">
        <fgColor rgb="FFFEE69B"/>
        <bgColor rgb="FFFEE69B"/>
      </patternFill>
    </fill>
    <fill>
      <patternFill patternType="solid">
        <fgColor rgb="FFB0D0E2"/>
        <bgColor rgb="FFB0D0E2"/>
      </patternFill>
    </fill>
    <fill>
      <patternFill patternType="solid">
        <fgColor rgb="FF7C891D"/>
        <bgColor rgb="FF7C891D"/>
      </patternFill>
    </fill>
    <fill>
      <patternFill patternType="solid">
        <fgColor rgb="FFB86D00"/>
        <bgColor rgb="FFB86D00"/>
      </patternFill>
    </fill>
    <fill>
      <patternFill patternType="solid">
        <fgColor rgb="FF626262"/>
        <bgColor rgb="FF626262"/>
      </patternFill>
    </fill>
    <fill>
      <patternFill patternType="solid">
        <fgColor rgb="FFC29400"/>
        <bgColor rgb="FFC29400"/>
      </patternFill>
    </fill>
    <fill>
      <patternFill patternType="solid">
        <fgColor rgb="FF306786"/>
        <bgColor rgb="FF306786"/>
      </patternFill>
    </fill>
    <fill>
      <patternFill patternType="solid">
        <fgColor rgb="FF00BD32"/>
        <bgColor rgb="FF00BD32"/>
      </patternFill>
    </fill>
    <fill>
      <patternFill patternType="solid">
        <fgColor rgb="FFDD8047"/>
        <bgColor rgb="FFDD8047"/>
      </patternFill>
    </fill>
  </fills>
  <borders count="18">
    <border/>
    <border>
      <left style="thin">
        <color rgb="FFF2F2F2"/>
      </left>
      <right style="thin">
        <color rgb="FFF2F2F2"/>
      </right>
      <top style="thin">
        <color rgb="FFF2F2F2"/>
      </top>
      <bottom style="thin">
        <color rgb="FFF2F2F2"/>
      </bottom>
    </border>
    <border>
      <left style="thin">
        <color rgb="FFF2F2F2"/>
      </left>
      <right style="double">
        <color rgb="FFBFBFBF"/>
      </right>
      <top style="thin">
        <color rgb="FFF2F2F2"/>
      </top>
      <bottom style="thin">
        <color rgb="FFF2F2F2"/>
      </bottom>
    </border>
    <border>
      <left/>
      <right/>
      <top style="thin">
        <color rgb="FFF2F2F2"/>
      </top>
      <bottom style="thin">
        <color rgb="FFF2F2F2"/>
      </bottom>
    </border>
    <border>
      <left/>
      <right style="thin">
        <color rgb="FFF2F2F2"/>
      </right>
      <top style="thin">
        <color rgb="FFF2F2F2"/>
      </top>
      <bottom style="thin">
        <color rgb="FFF2F2F2"/>
      </bottom>
    </border>
    <border>
      <left style="thin">
        <color rgb="FFF2F2F2"/>
      </left>
      <right style="thin">
        <color rgb="FFF2F2F2"/>
      </right>
      <top style="thin">
        <color rgb="FFF2F2F2"/>
      </top>
      <bottom style="medium">
        <color rgb="FFF2F2F2"/>
      </bottom>
    </border>
    <border>
      <left/>
      <right style="thin">
        <color rgb="FFF2F2F2"/>
      </right>
      <top style="thin">
        <color rgb="FFF2F2F2"/>
      </top>
      <bottom style="medium">
        <color rgb="FFF2F2F2"/>
      </bottom>
    </border>
    <border>
      <left style="thin">
        <color rgb="FFF2F2F2"/>
      </left>
      <right style="double">
        <color rgb="FFBFBFBF"/>
      </right>
      <top style="thin">
        <color rgb="FFF2F2F2"/>
      </top>
      <bottom style="medium">
        <color rgb="FFF2F2F2"/>
      </bottom>
    </border>
    <border>
      <left style="thin">
        <color rgb="FFF2F2F2"/>
      </left>
      <right style="thin">
        <color rgb="FFF2F2F2"/>
      </right>
      <top style="medium">
        <color rgb="FFBFBFBF"/>
      </top>
      <bottom style="thin">
        <color rgb="FFBFBFBF"/>
      </bottom>
    </border>
    <border>
      <left/>
      <right style="thin">
        <color rgb="FFF2F2F2"/>
      </right>
      <top style="medium">
        <color rgb="FFBFBFBF"/>
      </top>
      <bottom style="thin">
        <color rgb="FFBFBFBF"/>
      </bottom>
    </border>
    <border>
      <left style="thin">
        <color rgb="FFF2F2F2"/>
      </left>
      <right style="double">
        <color rgb="FFBFBFBF"/>
      </right>
      <top style="medium">
        <color rgb="FFBFBFBF"/>
      </top>
      <bottom style="thin">
        <color rgb="FFBFBFBF"/>
      </bottom>
    </border>
    <border>
      <left/>
      <right/>
      <top style="medium">
        <color rgb="FFBFBFBF"/>
      </top>
      <bottom style="thin">
        <color rgb="FFBFBFBF"/>
      </bottom>
    </border>
    <border>
      <left/>
      <top/>
      <bottom/>
    </border>
    <border>
      <top/>
      <bottom/>
    </border>
    <border>
      <right/>
      <top/>
      <bottom/>
    </border>
    <border>
      <left/>
      <right/>
      <top/>
      <bottom/>
    </border>
    <border>
      <bottom style="thin">
        <color rgb="FFF2F2F2"/>
      </bottom>
    </border>
    <border>
      <left style="thick">
        <color rgb="FFA5A5A5"/>
      </left>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vertical="center"/>
    </xf>
    <xf borderId="0" fillId="0" fontId="4" numFmtId="0" xfId="0" applyAlignment="1" applyFont="1">
      <alignment shrinkToFit="0" vertical="center" wrapText="1"/>
    </xf>
    <xf borderId="0" fillId="0" fontId="5" numFmtId="0" xfId="0" applyAlignment="1" applyFont="1">
      <alignment vertical="center"/>
    </xf>
    <xf borderId="0" fillId="0" fontId="6" numFmtId="0" xfId="0" applyAlignment="1" applyFont="1">
      <alignment readingOrder="0" vertical="center"/>
    </xf>
    <xf borderId="0" fillId="0" fontId="7" numFmtId="0" xfId="0" applyAlignment="1" applyFont="1">
      <alignment vertical="center"/>
    </xf>
    <xf borderId="0" fillId="0" fontId="8" numFmtId="0" xfId="0" applyAlignment="1" applyFont="1">
      <alignment vertical="center"/>
    </xf>
    <xf borderId="0" fillId="0" fontId="5" numFmtId="0" xfId="0" applyAlignment="1" applyFont="1">
      <alignment horizontal="center" vertical="center"/>
    </xf>
    <xf borderId="1" fillId="2" fontId="9" numFmtId="0" xfId="0" applyAlignment="1" applyBorder="1" applyFill="1" applyFont="1">
      <alignment horizontal="left" vertical="center"/>
    </xf>
    <xf borderId="1" fillId="3" fontId="9" numFmtId="0" xfId="0" applyAlignment="1" applyBorder="1" applyFill="1" applyFont="1">
      <alignment horizontal="center" readingOrder="0" vertical="center"/>
    </xf>
    <xf borderId="1" fillId="4" fontId="9" numFmtId="0" xfId="0" applyAlignment="1" applyBorder="1" applyFill="1" applyFont="1">
      <alignment horizontal="center" readingOrder="0" vertical="center"/>
    </xf>
    <xf borderId="1" fillId="5" fontId="9" numFmtId="0" xfId="0" applyAlignment="1" applyBorder="1" applyFill="1" applyFont="1">
      <alignment horizontal="center" readingOrder="0" vertical="center"/>
    </xf>
    <xf borderId="1" fillId="6" fontId="10" numFmtId="0" xfId="0" applyAlignment="1" applyBorder="1" applyFill="1" applyFont="1">
      <alignment horizontal="center" readingOrder="0" vertical="center"/>
    </xf>
    <xf borderId="1" fillId="4" fontId="9" numFmtId="0" xfId="0" applyAlignment="1" applyBorder="1" applyFont="1">
      <alignment horizontal="center" vertical="center"/>
    </xf>
    <xf borderId="1" fillId="5" fontId="9" numFmtId="0" xfId="0" applyAlignment="1" applyBorder="1" applyFont="1">
      <alignment horizontal="center" vertical="center"/>
    </xf>
    <xf borderId="1" fillId="6" fontId="9" numFmtId="0" xfId="0" applyAlignment="1" applyBorder="1" applyFont="1">
      <alignment horizontal="center" vertical="center"/>
    </xf>
    <xf borderId="1" fillId="3" fontId="9" numFmtId="0" xfId="0" applyAlignment="1" applyBorder="1" applyFont="1">
      <alignment horizontal="center" vertical="center"/>
    </xf>
    <xf borderId="2" fillId="6" fontId="9" numFmtId="0" xfId="0" applyAlignment="1" applyBorder="1" applyFont="1">
      <alignment horizontal="center" vertical="center"/>
    </xf>
    <xf borderId="3" fillId="2" fontId="9" numFmtId="0" xfId="0" applyAlignment="1" applyBorder="1" applyFont="1">
      <alignment horizontal="center" vertical="center"/>
    </xf>
    <xf borderId="0" fillId="0" fontId="11" numFmtId="0" xfId="0" applyFont="1"/>
    <xf borderId="1" fillId="7" fontId="12" numFmtId="0" xfId="0" applyAlignment="1" applyBorder="1" applyFill="1" applyFont="1">
      <alignment horizontal="left" vertical="center"/>
    </xf>
    <xf borderId="1" fillId="8" fontId="13" numFmtId="0" xfId="0" applyAlignment="1" applyBorder="1" applyFill="1" applyFont="1">
      <alignment vertical="center"/>
    </xf>
    <xf borderId="4" fillId="8" fontId="13" numFmtId="0" xfId="0" applyAlignment="1" applyBorder="1" applyFont="1">
      <alignment vertical="center"/>
    </xf>
    <xf borderId="2" fillId="8" fontId="13" numFmtId="0" xfId="0" applyAlignment="1" applyBorder="1" applyFont="1">
      <alignment vertical="center"/>
    </xf>
    <xf borderId="3" fillId="8" fontId="13" numFmtId="0" xfId="0" applyAlignment="1" applyBorder="1" applyFont="1">
      <alignment vertical="center"/>
    </xf>
    <xf borderId="1" fillId="0" fontId="14" numFmtId="0" xfId="0" applyAlignment="1" applyBorder="1" applyFont="1">
      <alignment horizontal="left" vertical="center"/>
    </xf>
    <xf borderId="1" fillId="9" fontId="14" numFmtId="164" xfId="0" applyAlignment="1" applyBorder="1" applyFill="1" applyFont="1" applyNumberFormat="1">
      <alignment vertical="center"/>
    </xf>
    <xf borderId="1" fillId="10" fontId="14" numFmtId="164" xfId="0" applyAlignment="1" applyBorder="1" applyFill="1" applyFont="1" applyNumberFormat="1">
      <alignment vertical="center"/>
    </xf>
    <xf borderId="1" fillId="11" fontId="14" numFmtId="164" xfId="0" applyAlignment="1" applyBorder="1" applyFill="1" applyFont="1" applyNumberFormat="1">
      <alignment vertical="center"/>
    </xf>
    <xf borderId="4" fillId="12" fontId="14" numFmtId="164" xfId="0" applyAlignment="1" applyBorder="1" applyFill="1" applyFont="1" applyNumberFormat="1">
      <alignment vertical="center"/>
    </xf>
    <xf borderId="4" fillId="11" fontId="14" numFmtId="164" xfId="0" applyAlignment="1" applyBorder="1" applyFont="1" applyNumberFormat="1">
      <alignment vertical="center"/>
    </xf>
    <xf borderId="1" fillId="12" fontId="14" numFmtId="164" xfId="0" applyAlignment="1" applyBorder="1" applyFont="1" applyNumberFormat="1">
      <alignment vertical="center"/>
    </xf>
    <xf borderId="4" fillId="10" fontId="14" numFmtId="164" xfId="0" applyAlignment="1" applyBorder="1" applyFont="1" applyNumberFormat="1">
      <alignment vertical="center"/>
    </xf>
    <xf borderId="2" fillId="12" fontId="14" numFmtId="164" xfId="0" applyAlignment="1" applyBorder="1" applyFont="1" applyNumberFormat="1">
      <alignment vertical="center"/>
    </xf>
    <xf borderId="3" fillId="13" fontId="15" numFmtId="164" xfId="0" applyAlignment="1" applyBorder="1" applyFill="1" applyFont="1" applyNumberFormat="1">
      <alignment vertical="center"/>
    </xf>
    <xf borderId="5" fillId="2" fontId="16" numFmtId="0" xfId="0" applyAlignment="1" applyBorder="1" applyFont="1">
      <alignment horizontal="right" vertical="center"/>
    </xf>
    <xf borderId="5" fillId="3" fontId="17" numFmtId="164" xfId="0" applyAlignment="1" applyBorder="1" applyFont="1" applyNumberFormat="1">
      <alignment vertical="center"/>
    </xf>
    <xf borderId="5" fillId="4" fontId="17" numFmtId="164" xfId="0" applyAlignment="1" applyBorder="1" applyFont="1" applyNumberFormat="1">
      <alignment vertical="center"/>
    </xf>
    <xf borderId="5" fillId="5" fontId="17" numFmtId="164" xfId="0" applyAlignment="1" applyBorder="1" applyFont="1" applyNumberFormat="1">
      <alignment vertical="center"/>
    </xf>
    <xf borderId="6" fillId="6" fontId="17" numFmtId="164" xfId="0" applyAlignment="1" applyBorder="1" applyFont="1" applyNumberFormat="1">
      <alignment vertical="center"/>
    </xf>
    <xf borderId="6" fillId="5" fontId="17" numFmtId="164" xfId="0" applyAlignment="1" applyBorder="1" applyFont="1" applyNumberFormat="1">
      <alignment vertical="center"/>
    </xf>
    <xf borderId="5" fillId="6" fontId="17" numFmtId="164" xfId="0" applyAlignment="1" applyBorder="1" applyFont="1" applyNumberFormat="1">
      <alignment vertical="center"/>
    </xf>
    <xf borderId="6" fillId="4" fontId="17" numFmtId="164" xfId="0" applyAlignment="1" applyBorder="1" applyFont="1" applyNumberFormat="1">
      <alignment vertical="center"/>
    </xf>
    <xf borderId="7" fillId="6" fontId="17" numFmtId="164" xfId="0" applyAlignment="1" applyBorder="1" applyFont="1" applyNumberFormat="1">
      <alignment vertical="center"/>
    </xf>
    <xf borderId="3" fillId="2" fontId="16" numFmtId="164" xfId="0" applyAlignment="1" applyBorder="1" applyFont="1" applyNumberFormat="1">
      <alignment vertical="center"/>
    </xf>
    <xf borderId="1" fillId="0" fontId="14" numFmtId="0" xfId="0" applyAlignment="1" applyBorder="1" applyFont="1">
      <alignment horizontal="left" readingOrder="0" vertical="center"/>
    </xf>
    <xf borderId="0" fillId="0" fontId="18" numFmtId="0" xfId="0" applyAlignment="1" applyFont="1">
      <alignment readingOrder="0"/>
    </xf>
    <xf borderId="8" fillId="2" fontId="16" numFmtId="0" xfId="0" applyAlignment="1" applyBorder="1" applyFont="1">
      <alignment horizontal="right" vertical="center"/>
    </xf>
    <xf borderId="8" fillId="14" fontId="17" numFmtId="164" xfId="0" applyAlignment="1" applyBorder="1" applyFill="1" applyFont="1" applyNumberFormat="1">
      <alignment vertical="center"/>
    </xf>
    <xf borderId="8" fillId="15" fontId="17" numFmtId="164" xfId="0" applyAlignment="1" applyBorder="1" applyFill="1" applyFont="1" applyNumberFormat="1">
      <alignment vertical="center"/>
    </xf>
    <xf borderId="8" fillId="16" fontId="17" numFmtId="164" xfId="0" applyAlignment="1" applyBorder="1" applyFill="1" applyFont="1" applyNumberFormat="1">
      <alignment vertical="center"/>
    </xf>
    <xf borderId="9" fillId="17" fontId="17" numFmtId="164" xfId="0" applyAlignment="1" applyBorder="1" applyFill="1" applyFont="1" applyNumberFormat="1">
      <alignment vertical="center"/>
    </xf>
    <xf borderId="9" fillId="16" fontId="17" numFmtId="164" xfId="0" applyAlignment="1" applyBorder="1" applyFont="1" applyNumberFormat="1">
      <alignment vertical="center"/>
    </xf>
    <xf borderId="8" fillId="17" fontId="17" numFmtId="164" xfId="0" applyAlignment="1" applyBorder="1" applyFont="1" applyNumberFormat="1">
      <alignment vertical="center"/>
    </xf>
    <xf borderId="9" fillId="15" fontId="17" numFmtId="164" xfId="0" applyAlignment="1" applyBorder="1" applyFont="1" applyNumberFormat="1">
      <alignment vertical="center"/>
    </xf>
    <xf borderId="10" fillId="17" fontId="17" numFmtId="164" xfId="0" applyAlignment="1" applyBorder="1" applyFont="1" applyNumberFormat="1">
      <alignment vertical="center"/>
    </xf>
    <xf borderId="11" fillId="18" fontId="16" numFmtId="164" xfId="0" applyAlignment="1" applyBorder="1" applyFill="1" applyFont="1" applyNumberFormat="1">
      <alignment vertical="center"/>
    </xf>
    <xf borderId="12" fillId="19" fontId="19" numFmtId="0" xfId="0" applyAlignment="1" applyBorder="1" applyFill="1" applyFont="1">
      <alignment horizontal="center" shrinkToFit="0" vertical="center" wrapText="1"/>
    </xf>
    <xf borderId="13" fillId="0" fontId="20" numFmtId="0" xfId="0" applyBorder="1" applyFont="1"/>
    <xf borderId="14" fillId="0" fontId="20" numFmtId="0" xfId="0" applyBorder="1" applyFont="1"/>
    <xf borderId="0" fillId="0" fontId="21" numFmtId="0" xfId="0" applyFont="1"/>
    <xf borderId="15" fillId="20" fontId="22" numFmtId="0" xfId="0" applyAlignment="1" applyBorder="1" applyFill="1" applyFont="1">
      <alignment horizontal="center" vertical="center"/>
    </xf>
    <xf borderId="0" fillId="0" fontId="18" numFmtId="165" xfId="0" applyAlignment="1" applyFont="1" applyNumberFormat="1">
      <alignment readingOrder="0"/>
    </xf>
    <xf borderId="0" fillId="0" fontId="18" numFmtId="165" xfId="0" applyFont="1" applyNumberFormat="1"/>
    <xf borderId="0" fillId="0" fontId="18" numFmtId="166" xfId="0" applyAlignment="1" applyFont="1" applyNumberFormat="1">
      <alignment readingOrder="0"/>
    </xf>
    <xf borderId="0" fillId="0" fontId="18" numFmtId="0" xfId="0" applyAlignment="1" applyFont="1">
      <alignment horizontal="right" readingOrder="0"/>
    </xf>
    <xf borderId="0" fillId="0" fontId="18" numFmtId="165" xfId="0" applyAlignment="1" applyFont="1" applyNumberFormat="1">
      <alignment vertical="top"/>
    </xf>
    <xf borderId="0" fillId="0" fontId="2" numFmtId="0" xfId="0" applyAlignment="1" applyFont="1">
      <alignment vertical="center"/>
    </xf>
    <xf borderId="0" fillId="0" fontId="7" numFmtId="0" xfId="0" applyAlignment="1" applyFont="1">
      <alignment readingOrder="0" vertical="center"/>
    </xf>
    <xf borderId="16" fillId="0" fontId="23" numFmtId="0" xfId="0" applyAlignment="1" applyBorder="1" applyFont="1">
      <alignment horizontal="left" vertical="center"/>
    </xf>
    <xf borderId="16" fillId="0" fontId="20" numFmtId="0" xfId="0" applyBorder="1" applyFont="1"/>
    <xf borderId="4" fillId="4" fontId="9" numFmtId="0" xfId="0" applyAlignment="1" applyBorder="1" applyFont="1">
      <alignment horizontal="center" vertical="center"/>
    </xf>
    <xf borderId="4" fillId="5" fontId="9" numFmtId="0" xfId="0" applyAlignment="1" applyBorder="1" applyFont="1">
      <alignment horizontal="center" vertical="center"/>
    </xf>
    <xf borderId="1" fillId="5" fontId="10" numFmtId="0" xfId="0" applyAlignment="1" applyBorder="1" applyFont="1">
      <alignment horizontal="center" readingOrder="0" vertical="center"/>
    </xf>
    <xf borderId="4" fillId="6" fontId="9" numFmtId="0" xfId="0" applyAlignment="1" applyBorder="1" applyFont="1">
      <alignment horizontal="center" vertical="center"/>
    </xf>
    <xf borderId="4" fillId="8" fontId="13" numFmtId="0" xfId="0" applyAlignment="1" applyBorder="1" applyFont="1">
      <alignment readingOrder="0" vertical="center"/>
    </xf>
    <xf borderId="1" fillId="8" fontId="13" numFmtId="0" xfId="0" applyAlignment="1" applyBorder="1" applyFont="1">
      <alignment readingOrder="0" vertical="center"/>
    </xf>
    <xf borderId="2" fillId="8" fontId="13" numFmtId="0" xfId="0" applyAlignment="1" applyBorder="1" applyFont="1">
      <alignment readingOrder="0" vertical="center"/>
    </xf>
    <xf borderId="1" fillId="9" fontId="14" numFmtId="167" xfId="0" applyAlignment="1" applyBorder="1" applyFont="1" applyNumberFormat="1">
      <alignment readingOrder="0" vertical="center"/>
    </xf>
    <xf borderId="1" fillId="9" fontId="14" numFmtId="164" xfId="0" applyAlignment="1" applyBorder="1" applyFont="1" applyNumberFormat="1">
      <alignment readingOrder="0" vertical="center"/>
    </xf>
    <xf borderId="4" fillId="11" fontId="14" numFmtId="164" xfId="0" applyAlignment="1" applyBorder="1" applyFont="1" applyNumberFormat="1">
      <alignment readingOrder="0" vertical="center"/>
    </xf>
    <xf borderId="1" fillId="11" fontId="14" numFmtId="164" xfId="0" applyAlignment="1" applyBorder="1" applyFont="1" applyNumberFormat="1">
      <alignment readingOrder="0" vertical="center"/>
    </xf>
    <xf borderId="4" fillId="12" fontId="14" numFmtId="164" xfId="0" applyAlignment="1" applyBorder="1" applyFont="1" applyNumberFormat="1">
      <alignment readingOrder="0" vertical="center"/>
    </xf>
    <xf borderId="1" fillId="12" fontId="14" numFmtId="164" xfId="0" applyAlignment="1" applyBorder="1" applyFont="1" applyNumberFormat="1">
      <alignment readingOrder="0" vertical="center"/>
    </xf>
    <xf borderId="2" fillId="12" fontId="14" numFmtId="164" xfId="0" applyAlignment="1" applyBorder="1" applyFont="1" applyNumberFormat="1">
      <alignment readingOrder="0" vertical="center"/>
    </xf>
    <xf borderId="6" fillId="5" fontId="24" numFmtId="164" xfId="0" applyAlignment="1" applyBorder="1" applyFont="1" applyNumberFormat="1">
      <alignment readingOrder="0" vertical="center"/>
    </xf>
    <xf borderId="4" fillId="10" fontId="14" numFmtId="164" xfId="0" applyAlignment="1" applyBorder="1" applyFont="1" applyNumberFormat="1">
      <alignment readingOrder="0" vertical="center"/>
    </xf>
    <xf borderId="1" fillId="10" fontId="14" numFmtId="164" xfId="0" applyAlignment="1" applyBorder="1" applyFont="1" applyNumberFormat="1">
      <alignment readingOrder="0" vertical="center"/>
    </xf>
    <xf borderId="0" fillId="0" fontId="25" numFmtId="0" xfId="0" applyFont="1"/>
    <xf borderId="17"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4559"/>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6" width="11.67"/>
    <col customWidth="1" min="7" max="7" width="13.0"/>
    <col customWidth="1" min="8" max="15" width="11.67"/>
    <col customWidth="1" min="16" max="16" width="2.33"/>
    <col customWidth="1" min="17" max="17" width="18.78"/>
    <col customWidth="1" min="18" max="26" width="8.56"/>
  </cols>
  <sheetData>
    <row r="1" ht="49.5" customHeight="1">
      <c r="A1" s="1" t="s">
        <v>0</v>
      </c>
      <c r="B1" s="2"/>
      <c r="C1" s="3"/>
      <c r="D1" s="4" t="s">
        <v>1</v>
      </c>
      <c r="E1" s="3"/>
      <c r="F1" s="5"/>
      <c r="G1" s="6"/>
      <c r="H1" s="6"/>
      <c r="I1" s="7">
        <v>2026.0</v>
      </c>
      <c r="J1" s="1"/>
      <c r="K1" s="1"/>
      <c r="L1" s="1"/>
      <c r="M1" s="1"/>
      <c r="N1" s="1"/>
      <c r="O1" s="1"/>
      <c r="P1" s="1"/>
      <c r="Q1" s="1"/>
      <c r="R1" s="1"/>
      <c r="S1" s="1"/>
      <c r="T1" s="1"/>
      <c r="U1" s="1"/>
      <c r="V1" s="1"/>
      <c r="W1" s="1"/>
      <c r="X1" s="1"/>
      <c r="Y1" s="1"/>
      <c r="Z1" s="1"/>
    </row>
    <row r="2" ht="31.5" customHeight="1">
      <c r="A2" s="1"/>
      <c r="B2" s="8" t="s">
        <v>2</v>
      </c>
      <c r="C2" s="9" t="s">
        <v>3</v>
      </c>
      <c r="D2" s="3"/>
      <c r="E2" s="3"/>
      <c r="F2" s="5"/>
      <c r="G2" s="6"/>
      <c r="H2" s="6"/>
      <c r="I2" s="6"/>
      <c r="J2" s="1"/>
      <c r="K2" s="1"/>
      <c r="L2" s="1"/>
      <c r="M2" s="1"/>
      <c r="N2" s="1"/>
      <c r="O2" s="1"/>
      <c r="P2" s="1"/>
      <c r="Q2" s="1"/>
      <c r="R2" s="1"/>
      <c r="S2" s="1"/>
      <c r="T2" s="1"/>
      <c r="U2" s="1"/>
      <c r="V2" s="1"/>
      <c r="W2" s="1"/>
      <c r="X2" s="1"/>
      <c r="Y2" s="1"/>
      <c r="Z2" s="1"/>
    </row>
    <row r="3" ht="24.0" customHeight="1">
      <c r="A3" s="10"/>
      <c r="B3" s="11" t="s">
        <v>4</v>
      </c>
      <c r="C3" s="12" t="s">
        <v>5</v>
      </c>
      <c r="D3" s="13" t="s">
        <v>6</v>
      </c>
      <c r="E3" s="14" t="s">
        <v>7</v>
      </c>
      <c r="F3" s="15" t="s">
        <v>8</v>
      </c>
      <c r="G3" s="12" t="s">
        <v>9</v>
      </c>
      <c r="H3" s="16">
        <v>6.0</v>
      </c>
      <c r="I3" s="17">
        <v>7.0</v>
      </c>
      <c r="J3" s="18">
        <v>8.0</v>
      </c>
      <c r="K3" s="19">
        <v>9.0</v>
      </c>
      <c r="L3" s="16">
        <v>10.0</v>
      </c>
      <c r="M3" s="17">
        <v>11.0</v>
      </c>
      <c r="N3" s="20">
        <v>12.0</v>
      </c>
      <c r="O3" s="21" t="s">
        <v>10</v>
      </c>
      <c r="P3" s="10"/>
      <c r="Q3" s="10"/>
      <c r="R3" s="10"/>
      <c r="S3" s="10"/>
      <c r="T3" s="10"/>
      <c r="U3" s="10"/>
      <c r="V3" s="10"/>
      <c r="W3" s="10"/>
      <c r="X3" s="10"/>
      <c r="Y3" s="10"/>
      <c r="Z3" s="10"/>
    </row>
    <row r="4" ht="18.0" customHeight="1">
      <c r="A4" s="22"/>
      <c r="B4" s="23" t="s">
        <v>11</v>
      </c>
      <c r="C4" s="24"/>
      <c r="D4" s="25"/>
      <c r="E4" s="25"/>
      <c r="F4" s="25"/>
      <c r="G4" s="24"/>
      <c r="H4" s="25"/>
      <c r="I4" s="25"/>
      <c r="J4" s="25"/>
      <c r="K4" s="24"/>
      <c r="L4" s="25"/>
      <c r="M4" s="25"/>
      <c r="N4" s="26"/>
      <c r="O4" s="27"/>
      <c r="P4" s="22"/>
    </row>
    <row r="5" ht="18.0" customHeight="1">
      <c r="A5" s="22"/>
      <c r="B5" s="28" t="s">
        <v>12</v>
      </c>
      <c r="C5" s="29">
        <f>'YALE 2516'!O5</f>
        <v>0</v>
      </c>
      <c r="D5" s="30">
        <f>'YALE 0111'!O5</f>
        <v>12510000</v>
      </c>
      <c r="E5" s="31">
        <f>'YALE 0727'!O5</f>
        <v>5000000</v>
      </c>
      <c r="F5" s="32">
        <f>'YALE 0728'!O5</f>
        <v>0</v>
      </c>
      <c r="G5" s="29">
        <f>'Amega Crown A8-10'!O5</f>
        <v>2000000</v>
      </c>
      <c r="H5" s="30">
        <f>'Property 6'!O5</f>
        <v>0</v>
      </c>
      <c r="I5" s="33">
        <f>'Property 7'!O5</f>
        <v>0</v>
      </c>
      <c r="J5" s="34">
        <f>'Property 8'!O5</f>
        <v>0</v>
      </c>
      <c r="K5" s="29">
        <f>'Property 9'!O5</f>
        <v>0</v>
      </c>
      <c r="L5" s="35">
        <f>'Property 10'!O5</f>
        <v>0</v>
      </c>
      <c r="M5" s="31">
        <f>'Property 11'!O5</f>
        <v>0</v>
      </c>
      <c r="N5" s="36">
        <f>'Property 12'!O5</f>
        <v>0</v>
      </c>
      <c r="O5" s="37">
        <f t="shared" ref="O5:O7" si="1">SUM(C5:N5)</f>
        <v>19510000</v>
      </c>
      <c r="P5" s="22"/>
    </row>
    <row r="6" ht="18.0" customHeight="1">
      <c r="A6" s="22"/>
      <c r="B6" s="28" t="s">
        <v>13</v>
      </c>
      <c r="C6" s="29">
        <f>'YALE 2516'!O6</f>
        <v>0</v>
      </c>
      <c r="D6" s="30">
        <f>'YALE 0111'!O6</f>
        <v>0</v>
      </c>
      <c r="E6" s="31">
        <f>'YALE 0727'!O6</f>
        <v>0</v>
      </c>
      <c r="F6" s="32">
        <f>'YALE 0728'!O6</f>
        <v>0</v>
      </c>
      <c r="G6" s="29">
        <f>'Amega Crown A8-10'!O6</f>
        <v>0</v>
      </c>
      <c r="H6" s="30">
        <f>'Property 6'!O6</f>
        <v>0</v>
      </c>
      <c r="I6" s="33">
        <f>'Property 7'!O6</f>
        <v>0</v>
      </c>
      <c r="J6" s="34">
        <f>'Property 8'!O6</f>
        <v>0</v>
      </c>
      <c r="K6" s="29">
        <f>'Property 9'!O6</f>
        <v>0</v>
      </c>
      <c r="L6" s="35">
        <f>'Property 10'!O6</f>
        <v>0</v>
      </c>
      <c r="M6" s="31">
        <f>'Property 11'!O6</f>
        <v>0</v>
      </c>
      <c r="N6" s="36">
        <f>'Property 12'!O6</f>
        <v>0</v>
      </c>
      <c r="O6" s="37">
        <f t="shared" si="1"/>
        <v>0</v>
      </c>
      <c r="P6" s="22"/>
    </row>
    <row r="7" ht="21.75" customHeight="1">
      <c r="A7" s="22"/>
      <c r="B7" s="38" t="s">
        <v>14</v>
      </c>
      <c r="C7" s="39">
        <f t="shared" ref="C7:N7" si="2">SUM(C5:C6)</f>
        <v>0</v>
      </c>
      <c r="D7" s="40">
        <f t="shared" si="2"/>
        <v>12510000</v>
      </c>
      <c r="E7" s="41">
        <f t="shared" si="2"/>
        <v>5000000</v>
      </c>
      <c r="F7" s="42">
        <f t="shared" si="2"/>
        <v>0</v>
      </c>
      <c r="G7" s="39">
        <f t="shared" si="2"/>
        <v>2000000</v>
      </c>
      <c r="H7" s="40">
        <f t="shared" si="2"/>
        <v>0</v>
      </c>
      <c r="I7" s="43">
        <f t="shared" si="2"/>
        <v>0</v>
      </c>
      <c r="J7" s="44">
        <f t="shared" si="2"/>
        <v>0</v>
      </c>
      <c r="K7" s="39">
        <f t="shared" si="2"/>
        <v>0</v>
      </c>
      <c r="L7" s="45">
        <f t="shared" si="2"/>
        <v>0</v>
      </c>
      <c r="M7" s="41">
        <f t="shared" si="2"/>
        <v>0</v>
      </c>
      <c r="N7" s="46">
        <f t="shared" si="2"/>
        <v>0</v>
      </c>
      <c r="O7" s="47">
        <f t="shared" si="1"/>
        <v>19510000</v>
      </c>
      <c r="P7" s="22"/>
    </row>
    <row r="8" ht="10.5" customHeight="1">
      <c r="A8" s="22"/>
      <c r="P8" s="22"/>
    </row>
    <row r="9" ht="24.0" customHeight="1">
      <c r="A9" s="10"/>
      <c r="B9" s="11" t="s">
        <v>15</v>
      </c>
      <c r="C9" s="19">
        <v>1.0</v>
      </c>
      <c r="D9" s="16">
        <v>2.0</v>
      </c>
      <c r="E9" s="17">
        <v>3.0</v>
      </c>
      <c r="F9" s="18">
        <v>4.0</v>
      </c>
      <c r="G9" s="19">
        <v>5.0</v>
      </c>
      <c r="H9" s="16">
        <v>6.0</v>
      </c>
      <c r="I9" s="17">
        <v>7.0</v>
      </c>
      <c r="J9" s="18">
        <v>8.0</v>
      </c>
      <c r="K9" s="19">
        <v>9.0</v>
      </c>
      <c r="L9" s="16">
        <v>10.0</v>
      </c>
      <c r="M9" s="17">
        <v>11.0</v>
      </c>
      <c r="N9" s="18">
        <v>12.0</v>
      </c>
      <c r="O9" s="21" t="s">
        <v>10</v>
      </c>
      <c r="P9" s="10"/>
      <c r="Q9" s="10"/>
      <c r="R9" s="10"/>
      <c r="S9" s="10"/>
      <c r="T9" s="10"/>
      <c r="U9" s="10"/>
      <c r="V9" s="10"/>
      <c r="W9" s="10"/>
      <c r="X9" s="10"/>
      <c r="Y9" s="10"/>
      <c r="Z9" s="10"/>
    </row>
    <row r="10" ht="18.0" customHeight="1">
      <c r="A10" s="22"/>
      <c r="B10" s="23" t="s">
        <v>16</v>
      </c>
      <c r="C10" s="24"/>
      <c r="D10" s="25"/>
      <c r="E10" s="25"/>
      <c r="F10" s="25"/>
      <c r="G10" s="24"/>
      <c r="H10" s="25"/>
      <c r="I10" s="25"/>
      <c r="J10" s="25"/>
      <c r="K10" s="24"/>
      <c r="L10" s="25"/>
      <c r="M10" s="25"/>
      <c r="N10" s="26"/>
      <c r="O10" s="27"/>
      <c r="P10" s="22"/>
    </row>
    <row r="11" ht="18.0" customHeight="1">
      <c r="A11" s="22"/>
      <c r="B11" s="28" t="s">
        <v>17</v>
      </c>
      <c r="C11" s="29">
        <f>'YALE 2516'!O11</f>
        <v>0</v>
      </c>
      <c r="D11" s="30">
        <f>'YALE 0111'!O11</f>
        <v>0</v>
      </c>
      <c r="E11" s="31">
        <f>'YALE 0727'!O11</f>
        <v>0</v>
      </c>
      <c r="F11" s="32">
        <f>'YALE 0728'!O11</f>
        <v>0</v>
      </c>
      <c r="G11" s="29">
        <f>'Amega Crown A8-10'!O11</f>
        <v>0</v>
      </c>
      <c r="H11" s="30">
        <f>'Property 6'!O11</f>
        <v>0</v>
      </c>
      <c r="I11" s="33">
        <f>'Property 7'!O11</f>
        <v>0</v>
      </c>
      <c r="J11" s="34">
        <f>'Property 8'!O11</f>
        <v>0</v>
      </c>
      <c r="K11" s="29">
        <f>'Property 9'!O11</f>
        <v>0</v>
      </c>
      <c r="L11" s="35">
        <f>'Property 10'!O11</f>
        <v>0</v>
      </c>
      <c r="M11" s="31">
        <f>'Property 11'!O11</f>
        <v>0</v>
      </c>
      <c r="N11" s="36">
        <f>'Property 12'!O11</f>
        <v>0</v>
      </c>
      <c r="O11" s="37">
        <f t="shared" ref="O11:O43" si="3">SUM(C11:N11)</f>
        <v>0</v>
      </c>
      <c r="P11" s="22"/>
    </row>
    <row r="12" ht="18.0" customHeight="1">
      <c r="A12" s="22"/>
      <c r="B12" s="48" t="s">
        <v>18</v>
      </c>
      <c r="C12" s="29">
        <f>'YALE 2516'!O12</f>
        <v>0</v>
      </c>
      <c r="D12" s="30">
        <f>'YALE 0111'!O12</f>
        <v>0</v>
      </c>
      <c r="E12" s="31">
        <f>'YALE 0727'!O12</f>
        <v>900000</v>
      </c>
      <c r="F12" s="32">
        <f>'YALE 0728'!O12</f>
        <v>0</v>
      </c>
      <c r="G12" s="29">
        <f>'Amega Crown A8-10'!O12</f>
        <v>0</v>
      </c>
      <c r="H12" s="30">
        <f>'Property 6'!O12</f>
        <v>0</v>
      </c>
      <c r="I12" s="33">
        <f>'Property 7'!O12</f>
        <v>0</v>
      </c>
      <c r="J12" s="34">
        <f>'Property 8'!O12</f>
        <v>0</v>
      </c>
      <c r="K12" s="29">
        <f>'Property 9'!O12</f>
        <v>0</v>
      </c>
      <c r="L12" s="35">
        <f>'Property 10'!O12</f>
        <v>0</v>
      </c>
      <c r="M12" s="31">
        <f>'Property 11'!O12</f>
        <v>0</v>
      </c>
      <c r="N12" s="36">
        <f>'Property 12'!O12</f>
        <v>0</v>
      </c>
      <c r="O12" s="37">
        <f t="shared" si="3"/>
        <v>900000</v>
      </c>
      <c r="P12" s="22"/>
    </row>
    <row r="13" ht="18.0" customHeight="1">
      <c r="A13" s="22"/>
      <c r="B13" s="28" t="s">
        <v>19</v>
      </c>
      <c r="C13" s="29">
        <f>'YALE 2516'!O13</f>
        <v>0</v>
      </c>
      <c r="D13" s="30">
        <f>'YALE 0111'!O13</f>
        <v>1260000</v>
      </c>
      <c r="E13" s="31">
        <f>'YALE 0727'!O13</f>
        <v>0</v>
      </c>
      <c r="F13" s="32">
        <f>'YALE 0728'!O13</f>
        <v>0</v>
      </c>
      <c r="G13" s="29">
        <f>'Amega Crown A8-10'!O13</f>
        <v>200000</v>
      </c>
      <c r="H13" s="30">
        <f>'Property 6'!O13</f>
        <v>0</v>
      </c>
      <c r="I13" s="33">
        <f>'Property 7'!O13</f>
        <v>0</v>
      </c>
      <c r="J13" s="34">
        <f>'Property 8'!O13</f>
        <v>0</v>
      </c>
      <c r="K13" s="29">
        <f>'Property 9'!O13</f>
        <v>0</v>
      </c>
      <c r="L13" s="35">
        <f>'Property 10'!O13</f>
        <v>0</v>
      </c>
      <c r="M13" s="31">
        <f>'Property 11'!O13</f>
        <v>0</v>
      </c>
      <c r="N13" s="36">
        <f>'Property 12'!O13</f>
        <v>0</v>
      </c>
      <c r="O13" s="37">
        <f t="shared" si="3"/>
        <v>1460000</v>
      </c>
      <c r="P13" s="22"/>
    </row>
    <row r="14" ht="18.0" customHeight="1">
      <c r="A14" s="22"/>
      <c r="B14" s="48" t="s">
        <v>20</v>
      </c>
      <c r="C14" s="29">
        <f>'YALE 2516'!O14</f>
        <v>0</v>
      </c>
      <c r="D14" s="30">
        <f>'YALE 0111'!O14</f>
        <v>0</v>
      </c>
      <c r="E14" s="31">
        <f>'YALE 0727'!O14</f>
        <v>0</v>
      </c>
      <c r="F14" s="32">
        <f>'YALE 0728'!O14</f>
        <v>0</v>
      </c>
      <c r="G14" s="29">
        <f>'Amega Crown A8-10'!O14</f>
        <v>0</v>
      </c>
      <c r="H14" s="30">
        <f>'Property 6'!O14</f>
        <v>0</v>
      </c>
      <c r="I14" s="33">
        <f>'Property 7'!O14</f>
        <v>0</v>
      </c>
      <c r="J14" s="34">
        <f>'Property 8'!O14</f>
        <v>0</v>
      </c>
      <c r="K14" s="29">
        <f>'Property 9'!O14</f>
        <v>0</v>
      </c>
      <c r="L14" s="35">
        <f>'Property 10'!O14</f>
        <v>0</v>
      </c>
      <c r="M14" s="31">
        <f>'Property 11'!O14</f>
        <v>0</v>
      </c>
      <c r="N14" s="36">
        <f>'Property 12'!O14</f>
        <v>0</v>
      </c>
      <c r="O14" s="37">
        <f t="shared" si="3"/>
        <v>0</v>
      </c>
      <c r="P14" s="22"/>
    </row>
    <row r="15" ht="18.0" customHeight="1">
      <c r="A15" s="22"/>
      <c r="B15" s="28" t="s">
        <v>21</v>
      </c>
      <c r="C15" s="29">
        <f>'YALE 2516'!O15</f>
        <v>0</v>
      </c>
      <c r="D15" s="30">
        <f>'YALE 0111'!O15</f>
        <v>0</v>
      </c>
      <c r="E15" s="31">
        <f>'YALE 0727'!O15</f>
        <v>0</v>
      </c>
      <c r="F15" s="32">
        <f>'YALE 0728'!O15</f>
        <v>0</v>
      </c>
      <c r="G15" s="29">
        <f>'Amega Crown A8-10'!O15</f>
        <v>0</v>
      </c>
      <c r="H15" s="30">
        <f>'Property 6'!O15</f>
        <v>0</v>
      </c>
      <c r="I15" s="33">
        <f>'Property 7'!O15</f>
        <v>0</v>
      </c>
      <c r="J15" s="34">
        <f>'Property 8'!O15</f>
        <v>0</v>
      </c>
      <c r="K15" s="29">
        <f>'Property 9'!O15</f>
        <v>0</v>
      </c>
      <c r="L15" s="35">
        <f>'Property 10'!O15</f>
        <v>0</v>
      </c>
      <c r="M15" s="31">
        <f>'Property 11'!O15</f>
        <v>0</v>
      </c>
      <c r="N15" s="36">
        <f>'Property 12'!O15</f>
        <v>0</v>
      </c>
      <c r="O15" s="37">
        <f t="shared" si="3"/>
        <v>0</v>
      </c>
      <c r="P15" s="22"/>
    </row>
    <row r="16" ht="18.0" customHeight="1">
      <c r="A16" s="22"/>
      <c r="B16" s="28" t="s">
        <v>22</v>
      </c>
      <c r="C16" s="29">
        <f>'YALE 2516'!O16</f>
        <v>0</v>
      </c>
      <c r="D16" s="30">
        <f>'YALE 0111'!O16</f>
        <v>0</v>
      </c>
      <c r="E16" s="31">
        <f>'YALE 0727'!O16</f>
        <v>0</v>
      </c>
      <c r="F16" s="32">
        <f>'YALE 0728'!O16</f>
        <v>0</v>
      </c>
      <c r="G16" s="29">
        <f>'Amega Crown A8-10'!O16</f>
        <v>0</v>
      </c>
      <c r="H16" s="30">
        <f>'Property 6'!O16</f>
        <v>0</v>
      </c>
      <c r="I16" s="33">
        <f>'Property 7'!O16</f>
        <v>0</v>
      </c>
      <c r="J16" s="34">
        <f>'Property 8'!O16</f>
        <v>0</v>
      </c>
      <c r="K16" s="29">
        <f>'Property 9'!O16</f>
        <v>0</v>
      </c>
      <c r="L16" s="35">
        <f>'Property 10'!O16</f>
        <v>0</v>
      </c>
      <c r="M16" s="31">
        <f>'Property 11'!O16</f>
        <v>0</v>
      </c>
      <c r="N16" s="36">
        <f>'Property 12'!O16</f>
        <v>0</v>
      </c>
      <c r="O16" s="37">
        <f t="shared" si="3"/>
        <v>0</v>
      </c>
      <c r="P16" s="22"/>
    </row>
    <row r="17" ht="18.0" customHeight="1">
      <c r="A17" s="22"/>
      <c r="B17" s="28" t="s">
        <v>23</v>
      </c>
      <c r="C17" s="29">
        <f>'YALE 2516'!O17</f>
        <v>0</v>
      </c>
      <c r="D17" s="30">
        <f>'YALE 0111'!O17</f>
        <v>0</v>
      </c>
      <c r="E17" s="31">
        <f>'YALE 0727'!O17</f>
        <v>0</v>
      </c>
      <c r="F17" s="32">
        <f>'YALE 0728'!O17</f>
        <v>0</v>
      </c>
      <c r="G17" s="29">
        <f>'Amega Crown A8-10'!O17</f>
        <v>0</v>
      </c>
      <c r="H17" s="30">
        <f>'Property 6'!O17</f>
        <v>0</v>
      </c>
      <c r="I17" s="33">
        <f>'Property 7'!O17</f>
        <v>0</v>
      </c>
      <c r="J17" s="34">
        <f>'Property 8'!O17</f>
        <v>0</v>
      </c>
      <c r="K17" s="29">
        <f>'Property 9'!O17</f>
        <v>0</v>
      </c>
      <c r="L17" s="35">
        <f>'Property 10'!O17</f>
        <v>0</v>
      </c>
      <c r="M17" s="31">
        <f>'Property 11'!O17</f>
        <v>0</v>
      </c>
      <c r="N17" s="36">
        <f>'Property 12'!O17</f>
        <v>0</v>
      </c>
      <c r="O17" s="37">
        <f t="shared" si="3"/>
        <v>0</v>
      </c>
      <c r="P17" s="22"/>
    </row>
    <row r="18" ht="18.0" customHeight="1">
      <c r="A18" s="22"/>
      <c r="B18" s="28" t="s">
        <v>24</v>
      </c>
      <c r="C18" s="29">
        <f>'YALE 2516'!O18</f>
        <v>0</v>
      </c>
      <c r="D18" s="30">
        <f>'YALE 0111'!O18</f>
        <v>0</v>
      </c>
      <c r="E18" s="31">
        <f>'YALE 0727'!O18</f>
        <v>0</v>
      </c>
      <c r="F18" s="32">
        <f>'YALE 0728'!O18</f>
        <v>0</v>
      </c>
      <c r="G18" s="29">
        <f>'Amega Crown A8-10'!O18</f>
        <v>0</v>
      </c>
      <c r="H18" s="30">
        <f>'Property 6'!O18</f>
        <v>0</v>
      </c>
      <c r="I18" s="33">
        <f>'Property 7'!O18</f>
        <v>0</v>
      </c>
      <c r="J18" s="34">
        <f>'Property 8'!O18</f>
        <v>0</v>
      </c>
      <c r="K18" s="29">
        <f>'Property 9'!O18</f>
        <v>0</v>
      </c>
      <c r="L18" s="35">
        <f>'Property 10'!O18</f>
        <v>0</v>
      </c>
      <c r="M18" s="31">
        <f>'Property 11'!O18</f>
        <v>0</v>
      </c>
      <c r="N18" s="36">
        <f>'Property 12'!O18</f>
        <v>0</v>
      </c>
      <c r="O18" s="37">
        <f t="shared" si="3"/>
        <v>0</v>
      </c>
      <c r="P18" s="22"/>
    </row>
    <row r="19" ht="18.0" customHeight="1">
      <c r="A19" s="22"/>
      <c r="B19" s="28" t="s">
        <v>25</v>
      </c>
      <c r="C19" s="29">
        <f>'YALE 2516'!O19</f>
        <v>0</v>
      </c>
      <c r="D19" s="30">
        <f>'YALE 0111'!O19</f>
        <v>0</v>
      </c>
      <c r="E19" s="31">
        <f>'YALE 0727'!O19</f>
        <v>0</v>
      </c>
      <c r="F19" s="32">
        <f>'YALE 0728'!O19</f>
        <v>0</v>
      </c>
      <c r="G19" s="29">
        <f>'Amega Crown A8-10'!O19</f>
        <v>0</v>
      </c>
      <c r="H19" s="30">
        <f>'Property 6'!O19</f>
        <v>0</v>
      </c>
      <c r="I19" s="33">
        <f>'Property 7'!O19</f>
        <v>0</v>
      </c>
      <c r="J19" s="34">
        <f>'Property 8'!O19</f>
        <v>0</v>
      </c>
      <c r="K19" s="29">
        <f>'Property 9'!O19</f>
        <v>0</v>
      </c>
      <c r="L19" s="35">
        <f>'Property 10'!O19</f>
        <v>0</v>
      </c>
      <c r="M19" s="31">
        <f>'Property 11'!O19</f>
        <v>0</v>
      </c>
      <c r="N19" s="36">
        <f>'Property 12'!O19</f>
        <v>0</v>
      </c>
      <c r="O19" s="37">
        <f t="shared" si="3"/>
        <v>0</v>
      </c>
      <c r="P19" s="22"/>
    </row>
    <row r="20" ht="18.0" customHeight="1">
      <c r="A20" s="22"/>
      <c r="B20" s="28" t="s">
        <v>26</v>
      </c>
      <c r="C20" s="29">
        <f>'YALE 2516'!O20</f>
        <v>0</v>
      </c>
      <c r="D20" s="30">
        <f>'YALE 0111'!O20</f>
        <v>0</v>
      </c>
      <c r="E20" s="31">
        <f>'YALE 0727'!O20</f>
        <v>0</v>
      </c>
      <c r="F20" s="32">
        <f>'YALE 0728'!O20</f>
        <v>0</v>
      </c>
      <c r="G20" s="29">
        <f>'Amega Crown A8-10'!O20</f>
        <v>0</v>
      </c>
      <c r="H20" s="30">
        <f>'Property 6'!O20</f>
        <v>0</v>
      </c>
      <c r="I20" s="33">
        <f>'Property 7'!O20</f>
        <v>0</v>
      </c>
      <c r="J20" s="34">
        <f>'Property 8'!O20</f>
        <v>0</v>
      </c>
      <c r="K20" s="29">
        <f>'Property 9'!O20</f>
        <v>0</v>
      </c>
      <c r="L20" s="35">
        <f>'Property 10'!O20</f>
        <v>0</v>
      </c>
      <c r="M20" s="31">
        <f>'Property 11'!O20</f>
        <v>0</v>
      </c>
      <c r="N20" s="36">
        <f>'Property 12'!O20</f>
        <v>0</v>
      </c>
      <c r="O20" s="37">
        <f t="shared" si="3"/>
        <v>0</v>
      </c>
      <c r="P20" s="22"/>
    </row>
    <row r="21" ht="18.0" customHeight="1">
      <c r="A21" s="22"/>
      <c r="B21" s="49" t="s">
        <v>27</v>
      </c>
      <c r="C21" s="29">
        <f>'YALE 2516'!O21</f>
        <v>0</v>
      </c>
      <c r="D21" s="30">
        <f>'YALE 0111'!O21</f>
        <v>0</v>
      </c>
      <c r="E21" s="31">
        <f>'YALE 0727'!O21</f>
        <v>0</v>
      </c>
      <c r="F21" s="32">
        <f>'YALE 0728'!O21</f>
        <v>0</v>
      </c>
      <c r="G21" s="29">
        <f>'Amega Crown A8-10'!O21</f>
        <v>0</v>
      </c>
      <c r="H21" s="30">
        <f>'Property 6'!O21</f>
        <v>0</v>
      </c>
      <c r="I21" s="33">
        <f>'Property 7'!O21</f>
        <v>0</v>
      </c>
      <c r="J21" s="34">
        <f>'Property 8'!O21</f>
        <v>0</v>
      </c>
      <c r="K21" s="29">
        <f>'Property 9'!O21</f>
        <v>0</v>
      </c>
      <c r="L21" s="35">
        <f>'Property 10'!O21</f>
        <v>0</v>
      </c>
      <c r="M21" s="31">
        <f>'Property 11'!O21</f>
        <v>0</v>
      </c>
      <c r="N21" s="36">
        <f>'Property 12'!O21</f>
        <v>0</v>
      </c>
      <c r="O21" s="37">
        <f t="shared" si="3"/>
        <v>0</v>
      </c>
      <c r="P21" s="22"/>
    </row>
    <row r="22" ht="18.0" customHeight="1">
      <c r="A22" s="22"/>
      <c r="B22" s="28" t="s">
        <v>28</v>
      </c>
      <c r="C22" s="29">
        <f>'YALE 2516'!O22</f>
        <v>0</v>
      </c>
      <c r="D22" s="30">
        <f>'YALE 0111'!O22</f>
        <v>0</v>
      </c>
      <c r="E22" s="31">
        <f>'YALE 0727'!O22</f>
        <v>0</v>
      </c>
      <c r="F22" s="32">
        <f>'YALE 0728'!O22</f>
        <v>0</v>
      </c>
      <c r="G22" s="29">
        <f>'Amega Crown A8-10'!O22</f>
        <v>0</v>
      </c>
      <c r="H22" s="30">
        <f>'Property 6'!O22</f>
        <v>0</v>
      </c>
      <c r="I22" s="33">
        <f>'Property 7'!O22</f>
        <v>0</v>
      </c>
      <c r="J22" s="34">
        <f>'Property 8'!O22</f>
        <v>0</v>
      </c>
      <c r="K22" s="29">
        <f>'Property 9'!O22</f>
        <v>0</v>
      </c>
      <c r="L22" s="35">
        <f>'Property 10'!O22</f>
        <v>0</v>
      </c>
      <c r="M22" s="31">
        <f>'Property 11'!O22</f>
        <v>0</v>
      </c>
      <c r="N22" s="36">
        <f>'Property 12'!O22</f>
        <v>0</v>
      </c>
      <c r="O22" s="37">
        <f t="shared" si="3"/>
        <v>0</v>
      </c>
      <c r="P22" s="22"/>
    </row>
    <row r="23" ht="18.0" customHeight="1">
      <c r="A23" s="22"/>
      <c r="B23" s="28" t="s">
        <v>29</v>
      </c>
      <c r="C23" s="29">
        <f>'YALE 2516'!O23</f>
        <v>0</v>
      </c>
      <c r="D23" s="30">
        <f>'YALE 0111'!O23</f>
        <v>0</v>
      </c>
      <c r="E23" s="31">
        <f>'YALE 0727'!O23</f>
        <v>0</v>
      </c>
      <c r="F23" s="32">
        <f>'YALE 0728'!O23</f>
        <v>0</v>
      </c>
      <c r="G23" s="29">
        <f>'Amega Crown A8-10'!O23</f>
        <v>0</v>
      </c>
      <c r="H23" s="30">
        <f>'Property 6'!O23</f>
        <v>0</v>
      </c>
      <c r="I23" s="33">
        <f>'Property 7'!O23</f>
        <v>0</v>
      </c>
      <c r="J23" s="34">
        <f>'Property 8'!O23</f>
        <v>0</v>
      </c>
      <c r="K23" s="29">
        <f>'Property 9'!O23</f>
        <v>0</v>
      </c>
      <c r="L23" s="35">
        <f>'Property 10'!O23</f>
        <v>0</v>
      </c>
      <c r="M23" s="31">
        <f>'Property 11'!O23</f>
        <v>0</v>
      </c>
      <c r="N23" s="36">
        <f>'Property 12'!O23</f>
        <v>0</v>
      </c>
      <c r="O23" s="37">
        <f t="shared" si="3"/>
        <v>0</v>
      </c>
      <c r="P23" s="22"/>
    </row>
    <row r="24" ht="18.0" customHeight="1">
      <c r="A24" s="22"/>
      <c r="B24" s="28" t="s">
        <v>30</v>
      </c>
      <c r="C24" s="29">
        <f>'YALE 2516'!O24</f>
        <v>0</v>
      </c>
      <c r="D24" s="30">
        <f>'YALE 0111'!O24</f>
        <v>0</v>
      </c>
      <c r="E24" s="31">
        <f>'YALE 0727'!O24</f>
        <v>0</v>
      </c>
      <c r="F24" s="32">
        <f>'YALE 0728'!O24</f>
        <v>0</v>
      </c>
      <c r="G24" s="29">
        <f>'Amega Crown A8-10'!O24</f>
        <v>0</v>
      </c>
      <c r="H24" s="30">
        <f>'Property 6'!O24</f>
        <v>0</v>
      </c>
      <c r="I24" s="33">
        <f>'Property 7'!O24</f>
        <v>0</v>
      </c>
      <c r="J24" s="34">
        <f>'Property 8'!O24</f>
        <v>0</v>
      </c>
      <c r="K24" s="29">
        <f>'Property 9'!O24</f>
        <v>0</v>
      </c>
      <c r="L24" s="35">
        <f>'Property 10'!O24</f>
        <v>0</v>
      </c>
      <c r="M24" s="31">
        <f>'Property 11'!O24</f>
        <v>0</v>
      </c>
      <c r="N24" s="36">
        <f>'Property 12'!O24</f>
        <v>0</v>
      </c>
      <c r="O24" s="37">
        <f t="shared" si="3"/>
        <v>0</v>
      </c>
      <c r="P24" s="22"/>
    </row>
    <row r="25" ht="18.0" customHeight="1">
      <c r="A25" s="22"/>
      <c r="B25" s="28" t="s">
        <v>31</v>
      </c>
      <c r="C25" s="29">
        <f>'YALE 2516'!O25</f>
        <v>0</v>
      </c>
      <c r="D25" s="30">
        <f>'YALE 0111'!O25</f>
        <v>0</v>
      </c>
      <c r="E25" s="31">
        <f>'YALE 0727'!O25</f>
        <v>0</v>
      </c>
      <c r="F25" s="32">
        <f>'YALE 0728'!O25</f>
        <v>0</v>
      </c>
      <c r="G25" s="29">
        <f>'Amega Crown A8-10'!O25</f>
        <v>0</v>
      </c>
      <c r="H25" s="30">
        <f>'Property 6'!O25</f>
        <v>0</v>
      </c>
      <c r="I25" s="33">
        <f>'Property 7'!O25</f>
        <v>0</v>
      </c>
      <c r="J25" s="34">
        <f>'Property 8'!O25</f>
        <v>0</v>
      </c>
      <c r="K25" s="29">
        <f>'Property 9'!O25</f>
        <v>0</v>
      </c>
      <c r="L25" s="35">
        <f>'Property 10'!O25</f>
        <v>0</v>
      </c>
      <c r="M25" s="31">
        <f>'Property 11'!O25</f>
        <v>0</v>
      </c>
      <c r="N25" s="36">
        <f>'Property 12'!O25</f>
        <v>0</v>
      </c>
      <c r="O25" s="37">
        <f t="shared" si="3"/>
        <v>0</v>
      </c>
      <c r="P25" s="22"/>
    </row>
    <row r="26" ht="18.0" customHeight="1">
      <c r="A26" s="22"/>
      <c r="B26" s="28" t="s">
        <v>32</v>
      </c>
      <c r="C26" s="29">
        <f>'YALE 2516'!O26</f>
        <v>0</v>
      </c>
      <c r="D26" s="30">
        <f>'YALE 0111'!O26</f>
        <v>0</v>
      </c>
      <c r="E26" s="31">
        <f>'YALE 0727'!O26</f>
        <v>0</v>
      </c>
      <c r="F26" s="32">
        <f>'YALE 0728'!O26</f>
        <v>0</v>
      </c>
      <c r="G26" s="29">
        <f>'Amega Crown A8-10'!O26</f>
        <v>0</v>
      </c>
      <c r="H26" s="30">
        <f>'Property 6'!O26</f>
        <v>0</v>
      </c>
      <c r="I26" s="33">
        <f>'Property 7'!O26</f>
        <v>0</v>
      </c>
      <c r="J26" s="34">
        <f>'Property 8'!O26</f>
        <v>0</v>
      </c>
      <c r="K26" s="29">
        <f>'Property 9'!O26</f>
        <v>0</v>
      </c>
      <c r="L26" s="35">
        <f>'Property 10'!O26</f>
        <v>0</v>
      </c>
      <c r="M26" s="31">
        <f>'Property 11'!O26</f>
        <v>0</v>
      </c>
      <c r="N26" s="36">
        <f>'Property 12'!O26</f>
        <v>0</v>
      </c>
      <c r="O26" s="37">
        <f t="shared" si="3"/>
        <v>0</v>
      </c>
      <c r="P26" s="22"/>
    </row>
    <row r="27" ht="18.0" customHeight="1">
      <c r="A27" s="22"/>
      <c r="B27" s="28" t="s">
        <v>33</v>
      </c>
      <c r="C27" s="29">
        <f>'YALE 2516'!O27</f>
        <v>0</v>
      </c>
      <c r="D27" s="30">
        <f>'YALE 0111'!O27</f>
        <v>0</v>
      </c>
      <c r="E27" s="31">
        <f>'YALE 0727'!O27</f>
        <v>0</v>
      </c>
      <c r="F27" s="32">
        <f>'YALE 0728'!O27</f>
        <v>0</v>
      </c>
      <c r="G27" s="29">
        <f>'Amega Crown A8-10'!O27</f>
        <v>0</v>
      </c>
      <c r="H27" s="30">
        <f>'Property 6'!O27</f>
        <v>0</v>
      </c>
      <c r="I27" s="33">
        <f>'Property 7'!O27</f>
        <v>0</v>
      </c>
      <c r="J27" s="34">
        <f>'Property 8'!O27</f>
        <v>0</v>
      </c>
      <c r="K27" s="29">
        <f>'Property 9'!O27</f>
        <v>0</v>
      </c>
      <c r="L27" s="35">
        <f>'Property 10'!O27</f>
        <v>0</v>
      </c>
      <c r="M27" s="31">
        <f>'Property 11'!O27</f>
        <v>0</v>
      </c>
      <c r="N27" s="36">
        <f>'Property 12'!O27</f>
        <v>0</v>
      </c>
      <c r="O27" s="37">
        <f t="shared" si="3"/>
        <v>0</v>
      </c>
      <c r="P27" s="22"/>
    </row>
    <row r="28" ht="18.0" customHeight="1">
      <c r="A28" s="22"/>
      <c r="B28" s="28" t="s">
        <v>34</v>
      </c>
      <c r="C28" s="29">
        <f>'YALE 2516'!O28</f>
        <v>0</v>
      </c>
      <c r="D28" s="30">
        <f>'YALE 0111'!O28</f>
        <v>0</v>
      </c>
      <c r="E28" s="31">
        <f>'YALE 0727'!O28</f>
        <v>0</v>
      </c>
      <c r="F28" s="32">
        <f>'YALE 0728'!O28</f>
        <v>0</v>
      </c>
      <c r="G28" s="29">
        <f>'Amega Crown A8-10'!O28</f>
        <v>0</v>
      </c>
      <c r="H28" s="30">
        <f>'Property 6'!O28</f>
        <v>0</v>
      </c>
      <c r="I28" s="33">
        <f>'Property 7'!O28</f>
        <v>0</v>
      </c>
      <c r="J28" s="34">
        <f>'Property 8'!O28</f>
        <v>0</v>
      </c>
      <c r="K28" s="29">
        <f>'Property 9'!O28</f>
        <v>0</v>
      </c>
      <c r="L28" s="35">
        <f>'Property 10'!O28</f>
        <v>0</v>
      </c>
      <c r="M28" s="31">
        <f>'Property 11'!O28</f>
        <v>0</v>
      </c>
      <c r="N28" s="36">
        <f>'Property 12'!O28</f>
        <v>0</v>
      </c>
      <c r="O28" s="37">
        <f t="shared" si="3"/>
        <v>0</v>
      </c>
      <c r="P28" s="22"/>
    </row>
    <row r="29" ht="18.0" customHeight="1">
      <c r="A29" s="22"/>
      <c r="B29" s="28" t="s">
        <v>35</v>
      </c>
      <c r="C29" s="29">
        <f>'YALE 2516'!O29</f>
        <v>0</v>
      </c>
      <c r="D29" s="30">
        <f>'YALE 0111'!O29</f>
        <v>0</v>
      </c>
      <c r="E29" s="31">
        <f>'YALE 0727'!O29</f>
        <v>310000</v>
      </c>
      <c r="F29" s="32">
        <f>'YALE 0728'!O29</f>
        <v>0</v>
      </c>
      <c r="G29" s="29">
        <f>'Amega Crown A8-10'!O29</f>
        <v>0</v>
      </c>
      <c r="H29" s="30">
        <f>'Property 6'!O29</f>
        <v>0</v>
      </c>
      <c r="I29" s="33">
        <f>'Property 7'!O29</f>
        <v>0</v>
      </c>
      <c r="J29" s="34">
        <f>'Property 8'!O29</f>
        <v>0</v>
      </c>
      <c r="K29" s="29">
        <f>'Property 9'!O29</f>
        <v>0</v>
      </c>
      <c r="L29" s="35">
        <f>'Property 10'!O29</f>
        <v>0</v>
      </c>
      <c r="M29" s="31">
        <f>'Property 11'!O29</f>
        <v>0</v>
      </c>
      <c r="N29" s="36">
        <f>'Property 12'!O29</f>
        <v>0</v>
      </c>
      <c r="O29" s="37">
        <f t="shared" si="3"/>
        <v>310000</v>
      </c>
      <c r="P29" s="22"/>
    </row>
    <row r="30" ht="18.0" customHeight="1">
      <c r="A30" s="22"/>
      <c r="B30" s="28" t="s">
        <v>36</v>
      </c>
      <c r="C30" s="29">
        <f>'YALE 2516'!O30</f>
        <v>0</v>
      </c>
      <c r="D30" s="30">
        <f>'YALE 0111'!O30</f>
        <v>0</v>
      </c>
      <c r="E30" s="31">
        <f>'YALE 0727'!O30</f>
        <v>0</v>
      </c>
      <c r="F30" s="32">
        <f>'YALE 0728'!O30</f>
        <v>0</v>
      </c>
      <c r="G30" s="29">
        <f>'Amega Crown A8-10'!O30</f>
        <v>0</v>
      </c>
      <c r="H30" s="30">
        <f>'Property 6'!O30</f>
        <v>0</v>
      </c>
      <c r="I30" s="33">
        <f>'Property 7'!O30</f>
        <v>0</v>
      </c>
      <c r="J30" s="34">
        <f>'Property 8'!O30</f>
        <v>0</v>
      </c>
      <c r="K30" s="29">
        <f>'Property 9'!O30</f>
        <v>0</v>
      </c>
      <c r="L30" s="35">
        <f>'Property 10'!O30</f>
        <v>0</v>
      </c>
      <c r="M30" s="31">
        <f>'Property 11'!O30</f>
        <v>0</v>
      </c>
      <c r="N30" s="36">
        <f>'Property 12'!O30</f>
        <v>0</v>
      </c>
      <c r="O30" s="37">
        <f t="shared" si="3"/>
        <v>0</v>
      </c>
      <c r="P30" s="22"/>
    </row>
    <row r="31" ht="18.0" customHeight="1">
      <c r="A31" s="22"/>
      <c r="B31" s="28" t="s">
        <v>37</v>
      </c>
      <c r="C31" s="29">
        <f>'YALE 2516'!O31</f>
        <v>0</v>
      </c>
      <c r="D31" s="30">
        <f>'YALE 0111'!O31</f>
        <v>240675</v>
      </c>
      <c r="E31" s="31">
        <f>'YALE 0727'!O31</f>
        <v>240675</v>
      </c>
      <c r="F31" s="32">
        <f>'YALE 0728'!O31</f>
        <v>240675</v>
      </c>
      <c r="G31" s="29">
        <f>'Amega Crown A8-10'!O31</f>
        <v>188577</v>
      </c>
      <c r="H31" s="30">
        <f>'Property 6'!O31</f>
        <v>0</v>
      </c>
      <c r="I31" s="33">
        <f>'Property 7'!O31</f>
        <v>0</v>
      </c>
      <c r="J31" s="34">
        <f>'Property 8'!O31</f>
        <v>0</v>
      </c>
      <c r="K31" s="29">
        <f>'Property 9'!O31</f>
        <v>0</v>
      </c>
      <c r="L31" s="35">
        <f>'Property 10'!O31</f>
        <v>0</v>
      </c>
      <c r="M31" s="31">
        <f>'Property 11'!O31</f>
        <v>0</v>
      </c>
      <c r="N31" s="36">
        <f>'Property 12'!O31</f>
        <v>0</v>
      </c>
      <c r="O31" s="37">
        <f t="shared" si="3"/>
        <v>910602</v>
      </c>
      <c r="P31" s="22"/>
    </row>
    <row r="32" ht="18.0" customHeight="1">
      <c r="A32" s="22"/>
      <c r="B32" s="28" t="s">
        <v>38</v>
      </c>
      <c r="C32" s="29">
        <f>'YALE 2516'!O32</f>
        <v>0</v>
      </c>
      <c r="D32" s="30">
        <f>'YALE 0111'!O32</f>
        <v>0</v>
      </c>
      <c r="E32" s="31">
        <f>'YALE 0727'!O32</f>
        <v>0</v>
      </c>
      <c r="F32" s="32">
        <f>'YALE 0728'!O32</f>
        <v>0</v>
      </c>
      <c r="G32" s="29">
        <f>'Amega Crown A8-10'!O32</f>
        <v>0</v>
      </c>
      <c r="H32" s="30">
        <f>'Property 6'!O32</f>
        <v>0</v>
      </c>
      <c r="I32" s="33">
        <f>'Property 7'!O32</f>
        <v>0</v>
      </c>
      <c r="J32" s="34">
        <f>'Property 8'!O32</f>
        <v>0</v>
      </c>
      <c r="K32" s="29">
        <f>'Property 9'!O32</f>
        <v>0</v>
      </c>
      <c r="L32" s="35">
        <f>'Property 10'!O32</f>
        <v>0</v>
      </c>
      <c r="M32" s="31">
        <f>'Property 11'!O32</f>
        <v>0</v>
      </c>
      <c r="N32" s="36">
        <f>'Property 12'!O32</f>
        <v>0</v>
      </c>
      <c r="O32" s="37">
        <f t="shared" si="3"/>
        <v>0</v>
      </c>
      <c r="P32" s="22"/>
    </row>
    <row r="33" ht="18.0" customHeight="1">
      <c r="A33" s="22"/>
      <c r="B33" s="28" t="s">
        <v>39</v>
      </c>
      <c r="C33" s="29">
        <f>'YALE 2516'!O33</f>
        <v>0</v>
      </c>
      <c r="D33" s="30">
        <f>'YALE 0111'!O33</f>
        <v>0</v>
      </c>
      <c r="E33" s="31">
        <f>'YALE 0727'!O33</f>
        <v>0</v>
      </c>
      <c r="F33" s="32">
        <f>'YALE 0728'!O33</f>
        <v>0</v>
      </c>
      <c r="G33" s="29">
        <f>'Amega Crown A8-10'!O33</f>
        <v>0</v>
      </c>
      <c r="H33" s="30">
        <f>'Property 6'!O33</f>
        <v>0</v>
      </c>
      <c r="I33" s="33">
        <f>'Property 7'!O33</f>
        <v>0</v>
      </c>
      <c r="J33" s="34">
        <f>'Property 8'!O33</f>
        <v>0</v>
      </c>
      <c r="K33" s="29">
        <f>'Property 9'!O33</f>
        <v>0</v>
      </c>
      <c r="L33" s="35">
        <f>'Property 10'!O33</f>
        <v>0</v>
      </c>
      <c r="M33" s="31">
        <f>'Property 11'!O33</f>
        <v>0</v>
      </c>
      <c r="N33" s="36">
        <f>'Property 12'!O33</f>
        <v>0</v>
      </c>
      <c r="O33" s="37">
        <f t="shared" si="3"/>
        <v>0</v>
      </c>
      <c r="P33" s="22"/>
    </row>
    <row r="34" ht="18.0" customHeight="1">
      <c r="A34" s="22"/>
      <c r="B34" s="28" t="s">
        <v>34</v>
      </c>
      <c r="C34" s="29">
        <f>'YALE 2516'!O34</f>
        <v>0</v>
      </c>
      <c r="D34" s="30">
        <f>'YALE 0111'!O34</f>
        <v>0</v>
      </c>
      <c r="E34" s="31">
        <f>'YALE 0727'!O34</f>
        <v>0</v>
      </c>
      <c r="F34" s="32">
        <f>'YALE 0728'!O34</f>
        <v>0</v>
      </c>
      <c r="G34" s="29">
        <f>'Amega Crown A8-10'!O34</f>
        <v>0</v>
      </c>
      <c r="H34" s="30">
        <f>'Property 6'!O34</f>
        <v>0</v>
      </c>
      <c r="I34" s="33">
        <f>'Property 7'!O34</f>
        <v>0</v>
      </c>
      <c r="J34" s="34">
        <f>'Property 8'!O34</f>
        <v>0</v>
      </c>
      <c r="K34" s="29">
        <f>'Property 9'!O34</f>
        <v>0</v>
      </c>
      <c r="L34" s="35">
        <f>'Property 10'!O34</f>
        <v>0</v>
      </c>
      <c r="M34" s="31">
        <f>'Property 11'!O34</f>
        <v>0</v>
      </c>
      <c r="N34" s="36">
        <f>'Property 12'!O34</f>
        <v>0</v>
      </c>
      <c r="O34" s="37">
        <f t="shared" si="3"/>
        <v>0</v>
      </c>
      <c r="P34" s="22"/>
    </row>
    <row r="35" ht="18.0" customHeight="1">
      <c r="A35" s="22"/>
      <c r="B35" s="28" t="s">
        <v>40</v>
      </c>
      <c r="C35" s="29">
        <f>'YALE 2516'!O35</f>
        <v>0</v>
      </c>
      <c r="D35" s="30">
        <f>'YALE 0111'!O35</f>
        <v>0</v>
      </c>
      <c r="E35" s="31">
        <f>'YALE 0727'!O35</f>
        <v>0</v>
      </c>
      <c r="F35" s="32">
        <f>'YALE 0728'!O35</f>
        <v>0</v>
      </c>
      <c r="G35" s="29">
        <f>'Amega Crown A8-10'!O35</f>
        <v>0</v>
      </c>
      <c r="H35" s="30">
        <f>'Property 6'!O35</f>
        <v>0</v>
      </c>
      <c r="I35" s="33">
        <f>'Property 7'!O35</f>
        <v>0</v>
      </c>
      <c r="J35" s="34">
        <f>'Property 8'!O35</f>
        <v>0</v>
      </c>
      <c r="K35" s="29">
        <f>'Property 9'!O35</f>
        <v>0</v>
      </c>
      <c r="L35" s="35">
        <f>'Property 10'!O35</f>
        <v>0</v>
      </c>
      <c r="M35" s="31">
        <f>'Property 11'!O35</f>
        <v>0</v>
      </c>
      <c r="N35" s="36">
        <f>'Property 12'!O35</f>
        <v>0</v>
      </c>
      <c r="O35" s="37">
        <f t="shared" si="3"/>
        <v>0</v>
      </c>
      <c r="P35" s="22"/>
    </row>
    <row r="36" ht="18.0" customHeight="1">
      <c r="A36" s="22"/>
      <c r="B36" s="28" t="s">
        <v>40</v>
      </c>
      <c r="C36" s="29">
        <f>'YALE 2516'!O36</f>
        <v>0</v>
      </c>
      <c r="D36" s="30">
        <f>'YALE 0111'!O36</f>
        <v>0</v>
      </c>
      <c r="E36" s="31">
        <f>'YALE 0727'!O36</f>
        <v>0</v>
      </c>
      <c r="F36" s="32">
        <f>'YALE 0728'!O36</f>
        <v>0</v>
      </c>
      <c r="G36" s="29">
        <f>'Amega Crown A8-10'!O36</f>
        <v>0</v>
      </c>
      <c r="H36" s="30">
        <f>'Property 6'!O36</f>
        <v>0</v>
      </c>
      <c r="I36" s="33">
        <f>'Property 7'!O36</f>
        <v>0</v>
      </c>
      <c r="J36" s="34">
        <f>'Property 8'!O36</f>
        <v>0</v>
      </c>
      <c r="K36" s="29">
        <f>'Property 9'!O36</f>
        <v>0</v>
      </c>
      <c r="L36" s="35">
        <f>'Property 10'!O36</f>
        <v>0</v>
      </c>
      <c r="M36" s="31">
        <f>'Property 11'!O36</f>
        <v>0</v>
      </c>
      <c r="N36" s="36">
        <f>'Property 12'!O36</f>
        <v>0</v>
      </c>
      <c r="O36" s="37">
        <f t="shared" si="3"/>
        <v>0</v>
      </c>
      <c r="P36" s="22"/>
    </row>
    <row r="37" ht="18.0" customHeight="1">
      <c r="A37" s="22"/>
      <c r="B37" s="28" t="s">
        <v>40</v>
      </c>
      <c r="C37" s="29">
        <f>'YALE 2516'!O37</f>
        <v>0</v>
      </c>
      <c r="D37" s="30">
        <f>'YALE 0111'!O37</f>
        <v>0</v>
      </c>
      <c r="E37" s="31">
        <f>'YALE 0727'!O37</f>
        <v>0</v>
      </c>
      <c r="F37" s="32">
        <f>'YALE 0728'!O37</f>
        <v>0</v>
      </c>
      <c r="G37" s="29">
        <f>'Amega Crown A8-10'!O37</f>
        <v>0</v>
      </c>
      <c r="H37" s="30">
        <f>'Property 6'!O37</f>
        <v>0</v>
      </c>
      <c r="I37" s="33">
        <f>'Property 7'!O37</f>
        <v>0</v>
      </c>
      <c r="J37" s="34">
        <f>'Property 8'!O37</f>
        <v>0</v>
      </c>
      <c r="K37" s="29">
        <f>'Property 9'!O37</f>
        <v>0</v>
      </c>
      <c r="L37" s="35">
        <f>'Property 10'!O37</f>
        <v>0</v>
      </c>
      <c r="M37" s="31">
        <f>'Property 11'!O37</f>
        <v>0</v>
      </c>
      <c r="N37" s="36">
        <f>'Property 12'!O37</f>
        <v>0</v>
      </c>
      <c r="O37" s="37">
        <f t="shared" si="3"/>
        <v>0</v>
      </c>
      <c r="P37" s="22"/>
    </row>
    <row r="38" ht="18.0" customHeight="1">
      <c r="A38" s="22"/>
      <c r="B38" s="28" t="s">
        <v>40</v>
      </c>
      <c r="C38" s="29">
        <f>'YALE 2516'!O38</f>
        <v>0</v>
      </c>
      <c r="D38" s="30">
        <f>'YALE 0111'!O38</f>
        <v>0</v>
      </c>
      <c r="E38" s="31">
        <f>'YALE 0727'!O38</f>
        <v>0</v>
      </c>
      <c r="F38" s="32">
        <f>'YALE 0728'!O38</f>
        <v>0</v>
      </c>
      <c r="G38" s="29">
        <f>'Amega Crown A8-10'!O38</f>
        <v>0</v>
      </c>
      <c r="H38" s="30">
        <f>'Property 6'!O38</f>
        <v>0</v>
      </c>
      <c r="I38" s="33">
        <f>'Property 7'!O38</f>
        <v>0</v>
      </c>
      <c r="J38" s="34">
        <f>'Property 8'!O38</f>
        <v>0</v>
      </c>
      <c r="K38" s="29">
        <f>'Property 9'!O38</f>
        <v>0</v>
      </c>
      <c r="L38" s="35">
        <f>'Property 10'!O38</f>
        <v>0</v>
      </c>
      <c r="M38" s="31">
        <f>'Property 11'!O38</f>
        <v>0</v>
      </c>
      <c r="N38" s="36">
        <f>'Property 12'!O38</f>
        <v>0</v>
      </c>
      <c r="O38" s="37">
        <f t="shared" si="3"/>
        <v>0</v>
      </c>
      <c r="P38" s="22"/>
    </row>
    <row r="39" ht="18.0" customHeight="1">
      <c r="A39" s="22"/>
      <c r="B39" s="28" t="s">
        <v>40</v>
      </c>
      <c r="C39" s="29">
        <f>'YALE 2516'!O39</f>
        <v>0</v>
      </c>
      <c r="D39" s="30">
        <f>'YALE 0111'!O39</f>
        <v>0</v>
      </c>
      <c r="E39" s="31">
        <f>'YALE 0727'!O39</f>
        <v>0</v>
      </c>
      <c r="F39" s="32">
        <f>'YALE 0728'!O39</f>
        <v>0</v>
      </c>
      <c r="G39" s="29">
        <f>'Amega Crown A8-10'!O39</f>
        <v>0</v>
      </c>
      <c r="H39" s="30">
        <f>'Property 6'!O39</f>
        <v>0</v>
      </c>
      <c r="I39" s="33">
        <f>'Property 7'!O39</f>
        <v>0</v>
      </c>
      <c r="J39" s="34">
        <f>'Property 8'!O39</f>
        <v>0</v>
      </c>
      <c r="K39" s="29">
        <f>'Property 9'!O39</f>
        <v>0</v>
      </c>
      <c r="L39" s="35">
        <f>'Property 10'!O39</f>
        <v>0</v>
      </c>
      <c r="M39" s="31">
        <f>'Property 11'!O39</f>
        <v>0</v>
      </c>
      <c r="N39" s="36">
        <f>'Property 12'!O39</f>
        <v>0</v>
      </c>
      <c r="O39" s="37">
        <f t="shared" si="3"/>
        <v>0</v>
      </c>
      <c r="P39" s="22"/>
    </row>
    <row r="40" ht="18.0" customHeight="1">
      <c r="A40" s="22"/>
      <c r="B40" s="28" t="s">
        <v>40</v>
      </c>
      <c r="C40" s="29">
        <f>'YALE 2516'!O40</f>
        <v>0</v>
      </c>
      <c r="D40" s="30">
        <f>'YALE 0111'!O40</f>
        <v>0</v>
      </c>
      <c r="E40" s="31">
        <f>'YALE 0727'!O40</f>
        <v>0</v>
      </c>
      <c r="F40" s="32">
        <f>'YALE 0728'!O40</f>
        <v>0</v>
      </c>
      <c r="G40" s="29">
        <f>'Amega Crown A8-10'!O40</f>
        <v>0</v>
      </c>
      <c r="H40" s="30">
        <f>'Property 6'!O40</f>
        <v>0</v>
      </c>
      <c r="I40" s="33">
        <f>'Property 7'!O40</f>
        <v>0</v>
      </c>
      <c r="J40" s="34">
        <f>'Property 8'!O40</f>
        <v>0</v>
      </c>
      <c r="K40" s="29">
        <f>'Property 9'!O40</f>
        <v>0</v>
      </c>
      <c r="L40" s="35">
        <f>'Property 10'!O40</f>
        <v>0</v>
      </c>
      <c r="M40" s="31">
        <f>'Property 11'!O40</f>
        <v>0</v>
      </c>
      <c r="N40" s="36">
        <f>'Property 12'!O40</f>
        <v>0</v>
      </c>
      <c r="O40" s="37">
        <f t="shared" si="3"/>
        <v>0</v>
      </c>
      <c r="P40" s="22"/>
    </row>
    <row r="41" ht="18.0" customHeight="1">
      <c r="A41" s="22"/>
      <c r="B41" s="28" t="s">
        <v>40</v>
      </c>
      <c r="C41" s="29">
        <f>'YALE 2516'!O41</f>
        <v>0</v>
      </c>
      <c r="D41" s="30">
        <f>'YALE 0111'!O41</f>
        <v>0</v>
      </c>
      <c r="E41" s="31">
        <f>'YALE 0727'!O41</f>
        <v>0</v>
      </c>
      <c r="F41" s="32">
        <f>'YALE 0728'!O41</f>
        <v>0</v>
      </c>
      <c r="G41" s="29">
        <f>'Amega Crown A8-10'!O41</f>
        <v>0</v>
      </c>
      <c r="H41" s="30">
        <f>'Property 6'!O41</f>
        <v>0</v>
      </c>
      <c r="I41" s="33">
        <f>'Property 7'!O41</f>
        <v>0</v>
      </c>
      <c r="J41" s="34">
        <f>'Property 8'!O41</f>
        <v>0</v>
      </c>
      <c r="K41" s="29">
        <f>'Property 9'!O41</f>
        <v>0</v>
      </c>
      <c r="L41" s="35">
        <f>'Property 10'!O41</f>
        <v>0</v>
      </c>
      <c r="M41" s="31">
        <f>'Property 11'!O41</f>
        <v>0</v>
      </c>
      <c r="N41" s="36">
        <f>'Property 12'!O41</f>
        <v>0</v>
      </c>
      <c r="O41" s="37">
        <f t="shared" si="3"/>
        <v>0</v>
      </c>
      <c r="P41" s="22"/>
    </row>
    <row r="42" ht="18.0" customHeight="1">
      <c r="A42" s="22"/>
      <c r="B42" s="28" t="s">
        <v>40</v>
      </c>
      <c r="C42" s="29">
        <f>'YALE 2516'!O42</f>
        <v>0</v>
      </c>
      <c r="D42" s="30">
        <f>'YALE 0111'!O42</f>
        <v>0</v>
      </c>
      <c r="E42" s="31">
        <f>'YALE 0727'!O42</f>
        <v>0</v>
      </c>
      <c r="F42" s="32">
        <f>'YALE 0728'!O42</f>
        <v>0</v>
      </c>
      <c r="G42" s="29">
        <f>'Amega Crown A8-10'!O42</f>
        <v>0</v>
      </c>
      <c r="H42" s="30">
        <f>'Property 6'!O42</f>
        <v>0</v>
      </c>
      <c r="I42" s="33">
        <f>'Property 7'!O42</f>
        <v>0</v>
      </c>
      <c r="J42" s="34">
        <f>'Property 8'!O42</f>
        <v>0</v>
      </c>
      <c r="K42" s="29">
        <f>'Property 9'!O42</f>
        <v>0</v>
      </c>
      <c r="L42" s="35">
        <f>'Property 10'!O42</f>
        <v>0</v>
      </c>
      <c r="M42" s="31">
        <f>'Property 11'!O42</f>
        <v>0</v>
      </c>
      <c r="N42" s="36">
        <f>'Property 12'!O42</f>
        <v>0</v>
      </c>
      <c r="O42" s="37">
        <f t="shared" si="3"/>
        <v>0</v>
      </c>
      <c r="P42" s="22"/>
    </row>
    <row r="43" ht="21.75" customHeight="1">
      <c r="A43" s="22"/>
      <c r="B43" s="38" t="s">
        <v>41</v>
      </c>
      <c r="C43" s="39">
        <f t="shared" ref="C43:N43" si="4">SUM(C11:C42)</f>
        <v>0</v>
      </c>
      <c r="D43" s="40">
        <f t="shared" si="4"/>
        <v>1500675</v>
      </c>
      <c r="E43" s="41">
        <f t="shared" si="4"/>
        <v>1450675</v>
      </c>
      <c r="F43" s="42">
        <f t="shared" si="4"/>
        <v>240675</v>
      </c>
      <c r="G43" s="39">
        <f t="shared" si="4"/>
        <v>388577</v>
      </c>
      <c r="H43" s="40">
        <f t="shared" si="4"/>
        <v>0</v>
      </c>
      <c r="I43" s="43">
        <f t="shared" si="4"/>
        <v>0</v>
      </c>
      <c r="J43" s="44">
        <f t="shared" si="4"/>
        <v>0</v>
      </c>
      <c r="K43" s="39">
        <f t="shared" si="4"/>
        <v>0</v>
      </c>
      <c r="L43" s="45">
        <f t="shared" si="4"/>
        <v>0</v>
      </c>
      <c r="M43" s="41">
        <f t="shared" si="4"/>
        <v>0</v>
      </c>
      <c r="N43" s="46">
        <f t="shared" si="4"/>
        <v>0</v>
      </c>
      <c r="O43" s="47">
        <f t="shared" si="3"/>
        <v>3580602</v>
      </c>
      <c r="P43" s="22"/>
    </row>
    <row r="44" ht="7.5" customHeight="1">
      <c r="A44" s="22"/>
      <c r="P44" s="22"/>
    </row>
    <row r="45" ht="36.0" customHeight="1">
      <c r="A45" s="22"/>
      <c r="B45" s="50" t="s">
        <v>42</v>
      </c>
      <c r="C45" s="51">
        <f t="shared" ref="C45:O45" si="5">C7-C43</f>
        <v>0</v>
      </c>
      <c r="D45" s="52">
        <f t="shared" si="5"/>
        <v>11009325</v>
      </c>
      <c r="E45" s="53">
        <f t="shared" si="5"/>
        <v>3549325</v>
      </c>
      <c r="F45" s="54">
        <f t="shared" si="5"/>
        <v>-240675</v>
      </c>
      <c r="G45" s="51">
        <f t="shared" si="5"/>
        <v>1611423</v>
      </c>
      <c r="H45" s="52">
        <f t="shared" si="5"/>
        <v>0</v>
      </c>
      <c r="I45" s="55">
        <f t="shared" si="5"/>
        <v>0</v>
      </c>
      <c r="J45" s="56">
        <f t="shared" si="5"/>
        <v>0</v>
      </c>
      <c r="K45" s="51">
        <f t="shared" si="5"/>
        <v>0</v>
      </c>
      <c r="L45" s="57">
        <f t="shared" si="5"/>
        <v>0</v>
      </c>
      <c r="M45" s="53">
        <f t="shared" si="5"/>
        <v>0</v>
      </c>
      <c r="N45" s="58">
        <f t="shared" si="5"/>
        <v>0</v>
      </c>
      <c r="O45" s="59">
        <f t="shared" si="5"/>
        <v>15929398</v>
      </c>
      <c r="P45" s="22"/>
    </row>
    <row r="46" ht="17.25" customHeight="1">
      <c r="A46" s="22"/>
    </row>
    <row r="47" ht="49.5" customHeight="1">
      <c r="A47" s="22"/>
      <c r="B47" s="60" t="s">
        <v>43</v>
      </c>
      <c r="C47" s="61"/>
      <c r="D47" s="61"/>
      <c r="E47" s="61"/>
      <c r="F47" s="61"/>
      <c r="G47" s="61"/>
      <c r="H47" s="61"/>
      <c r="I47" s="61"/>
      <c r="J47" s="61"/>
      <c r="K47" s="61"/>
      <c r="L47" s="61"/>
      <c r="M47" s="61"/>
      <c r="N47" s="61"/>
      <c r="O47" s="62"/>
    </row>
    <row r="48" ht="17.25" customHeight="1">
      <c r="A48" s="22"/>
    </row>
    <row r="49" ht="17.25" customHeight="1">
      <c r="A49" s="22"/>
    </row>
    <row r="50" ht="17.25" customHeight="1">
      <c r="A50" s="22"/>
    </row>
    <row r="51" ht="17.25" customHeight="1">
      <c r="A51" s="22"/>
    </row>
    <row r="52" ht="17.25" customHeight="1">
      <c r="A52" s="22"/>
    </row>
    <row r="53" ht="17.25" customHeight="1">
      <c r="A53" s="22"/>
    </row>
    <row r="54" ht="17.25" customHeight="1">
      <c r="A54" s="22"/>
    </row>
    <row r="55" ht="17.25" customHeight="1">
      <c r="A55" s="22"/>
    </row>
    <row r="56" ht="17.25" customHeight="1">
      <c r="A56" s="22"/>
      <c r="U56" s="63"/>
    </row>
    <row r="57" ht="17.25" customHeight="1">
      <c r="A57" s="22"/>
    </row>
    <row r="58" ht="17.25" customHeight="1">
      <c r="A58" s="22"/>
    </row>
    <row r="59" ht="17.25" customHeight="1">
      <c r="A59" s="22"/>
    </row>
    <row r="60" ht="17.25" customHeight="1">
      <c r="A60" s="22"/>
    </row>
    <row r="61" ht="17.25" customHeight="1">
      <c r="A61" s="22"/>
    </row>
    <row r="62" ht="17.25" customHeight="1">
      <c r="A62" s="22"/>
    </row>
    <row r="63" ht="17.25" customHeight="1">
      <c r="A63" s="22"/>
    </row>
    <row r="64" ht="17.25" customHeight="1">
      <c r="A64" s="22"/>
    </row>
    <row r="65" ht="17.25" customHeight="1">
      <c r="A65" s="22"/>
    </row>
    <row r="66" ht="17.25" customHeight="1">
      <c r="A66" s="22"/>
    </row>
    <row r="67" ht="17.25" customHeight="1">
      <c r="A67" s="22"/>
    </row>
    <row r="68" ht="17.25" customHeight="1">
      <c r="A68" s="22"/>
    </row>
    <row r="69" ht="17.25" customHeight="1">
      <c r="A69" s="22"/>
    </row>
    <row r="70" ht="17.25" customHeight="1">
      <c r="A70" s="22"/>
    </row>
    <row r="71" ht="17.25" customHeight="1">
      <c r="A71" s="22"/>
    </row>
    <row r="72" ht="17.25" customHeight="1">
      <c r="A72" s="22"/>
    </row>
    <row r="73" ht="17.25" customHeight="1">
      <c r="A73" s="22"/>
    </row>
    <row r="74" ht="17.25" customHeight="1">
      <c r="A74" s="22"/>
    </row>
    <row r="75" ht="17.25" customHeight="1">
      <c r="A75" s="22"/>
    </row>
    <row r="76" ht="17.25" customHeight="1">
      <c r="A76" s="22"/>
    </row>
    <row r="77" ht="17.25" customHeight="1">
      <c r="A77" s="22"/>
    </row>
    <row r="78" ht="17.25" customHeight="1">
      <c r="A78" s="22"/>
    </row>
    <row r="79" ht="17.25" customHeight="1">
      <c r="A79" s="22"/>
    </row>
    <row r="80" ht="17.25" customHeight="1">
      <c r="A80" s="22"/>
    </row>
    <row r="81" ht="17.25" customHeight="1">
      <c r="A81" s="22"/>
    </row>
    <row r="82" ht="17.25" customHeight="1">
      <c r="A82" s="22"/>
    </row>
    <row r="83" ht="17.25" customHeight="1">
      <c r="A83" s="22"/>
    </row>
    <row r="84" ht="17.25" customHeight="1">
      <c r="A84" s="22"/>
    </row>
    <row r="85" ht="17.25" customHeight="1">
      <c r="A85" s="22"/>
    </row>
    <row r="86" ht="17.25" customHeight="1">
      <c r="A86" s="22"/>
    </row>
    <row r="87" ht="17.25" customHeight="1">
      <c r="A87" s="22"/>
    </row>
    <row r="88" ht="17.25" customHeight="1">
      <c r="A88" s="22"/>
    </row>
    <row r="89" ht="17.25" customHeight="1">
      <c r="A89" s="22"/>
    </row>
    <row r="90" ht="17.25" customHeight="1">
      <c r="A90" s="22"/>
    </row>
    <row r="91" ht="17.25" customHeight="1">
      <c r="A91" s="22"/>
    </row>
    <row r="92" ht="17.25" customHeight="1">
      <c r="A92" s="22"/>
    </row>
    <row r="93" ht="17.25" customHeight="1">
      <c r="A93" s="22"/>
    </row>
    <row r="94" ht="17.25" customHeight="1">
      <c r="A94" s="22"/>
    </row>
    <row r="95" ht="17.25" customHeight="1">
      <c r="A95" s="22"/>
    </row>
    <row r="96" ht="17.25" customHeight="1">
      <c r="A96" s="22"/>
    </row>
    <row r="97" ht="17.25" customHeight="1">
      <c r="A97" s="22"/>
    </row>
    <row r="98" ht="17.25" customHeight="1">
      <c r="A98" s="22"/>
    </row>
    <row r="99" ht="17.25" customHeight="1">
      <c r="A99" s="22"/>
    </row>
    <row r="100" ht="17.25" customHeight="1">
      <c r="A100" s="22"/>
    </row>
    <row r="101" ht="17.25" customHeight="1">
      <c r="A101" s="22"/>
    </row>
    <row r="102" ht="17.25" customHeight="1">
      <c r="A102" s="22"/>
    </row>
    <row r="103" ht="17.25" customHeight="1">
      <c r="A103" s="22"/>
    </row>
    <row r="104" ht="17.25" customHeight="1">
      <c r="A104" s="22"/>
    </row>
    <row r="105" ht="17.25" customHeight="1">
      <c r="A105" s="22"/>
    </row>
    <row r="106" ht="17.25" customHeight="1">
      <c r="A106" s="22"/>
    </row>
    <row r="107" ht="17.25" customHeight="1">
      <c r="A107" s="22"/>
    </row>
    <row r="108" ht="17.25" customHeight="1">
      <c r="A108" s="22"/>
    </row>
    <row r="109" ht="17.25" customHeight="1">
      <c r="A109" s="22"/>
    </row>
    <row r="110" ht="17.25" customHeight="1">
      <c r="A110" s="22"/>
    </row>
    <row r="111" ht="17.25" customHeight="1">
      <c r="A111" s="22"/>
    </row>
    <row r="112" ht="17.25" customHeight="1">
      <c r="A112" s="22"/>
    </row>
    <row r="113" ht="17.25" customHeight="1">
      <c r="A113" s="22"/>
    </row>
    <row r="114" ht="17.25" customHeight="1">
      <c r="A114" s="22"/>
    </row>
    <row r="115" ht="17.25" customHeight="1">
      <c r="A115" s="22"/>
    </row>
    <row r="116" ht="17.25" customHeight="1">
      <c r="A116" s="22"/>
    </row>
    <row r="117" ht="17.25" customHeight="1">
      <c r="A117" s="22"/>
    </row>
    <row r="118" ht="17.25" customHeight="1">
      <c r="A118" s="22"/>
    </row>
    <row r="119" ht="17.25" customHeight="1">
      <c r="A119" s="22"/>
    </row>
    <row r="120" ht="17.25" customHeight="1">
      <c r="A120" s="22"/>
    </row>
    <row r="121" ht="17.25" customHeight="1">
      <c r="A121" s="22"/>
    </row>
    <row r="122" ht="17.25" customHeight="1">
      <c r="A122" s="22"/>
    </row>
    <row r="123" ht="17.25" customHeight="1">
      <c r="A123" s="22"/>
    </row>
    <row r="124" ht="17.25" customHeight="1">
      <c r="A124" s="22"/>
    </row>
    <row r="125" ht="17.25" customHeight="1">
      <c r="A125" s="22"/>
    </row>
    <row r="126" ht="17.25" customHeight="1">
      <c r="A126" s="22"/>
    </row>
    <row r="127" ht="17.25" customHeight="1">
      <c r="A127" s="22"/>
    </row>
    <row r="128" ht="17.25" customHeight="1">
      <c r="A128" s="22"/>
    </row>
    <row r="129" ht="17.25" customHeight="1">
      <c r="A129" s="22"/>
    </row>
    <row r="130" ht="17.25" customHeight="1">
      <c r="A130" s="22"/>
    </row>
    <row r="131" ht="17.25" customHeight="1">
      <c r="A131" s="22"/>
    </row>
    <row r="132" ht="17.25" customHeight="1">
      <c r="A132" s="22"/>
    </row>
    <row r="133" ht="17.25" customHeight="1">
      <c r="A133" s="22"/>
    </row>
    <row r="134" ht="17.25" customHeight="1">
      <c r="A134" s="22"/>
    </row>
    <row r="135" ht="17.25" customHeight="1">
      <c r="A135" s="22"/>
    </row>
    <row r="136" ht="17.25" customHeight="1">
      <c r="A136" s="22"/>
    </row>
    <row r="137" ht="17.25" customHeight="1">
      <c r="A137" s="22"/>
    </row>
    <row r="138" ht="17.25" customHeight="1">
      <c r="A138" s="22"/>
    </row>
    <row r="139" ht="17.25" customHeight="1">
      <c r="A139" s="22"/>
    </row>
    <row r="140" ht="17.25" customHeight="1">
      <c r="A140" s="22"/>
    </row>
    <row r="141" ht="17.25" customHeight="1">
      <c r="A141" s="22"/>
    </row>
    <row r="142" ht="17.25" customHeight="1">
      <c r="A142" s="22"/>
    </row>
    <row r="143" ht="17.25" customHeight="1">
      <c r="A143" s="22"/>
    </row>
    <row r="144" ht="17.25" customHeight="1">
      <c r="A144" s="22"/>
    </row>
    <row r="145" ht="17.25" customHeight="1">
      <c r="A145" s="22"/>
    </row>
    <row r="146" ht="17.25" customHeight="1">
      <c r="A146" s="22"/>
    </row>
    <row r="147" ht="17.25" customHeight="1">
      <c r="A147" s="22"/>
    </row>
    <row r="148" ht="17.25" customHeight="1">
      <c r="A148" s="22"/>
    </row>
    <row r="149" ht="17.25" customHeight="1">
      <c r="A149" s="22"/>
    </row>
    <row r="150" ht="17.25" customHeight="1">
      <c r="A150" s="22"/>
    </row>
    <row r="151" ht="17.25" customHeight="1">
      <c r="A151" s="22"/>
    </row>
    <row r="152" ht="17.25" customHeight="1">
      <c r="A152" s="22"/>
    </row>
    <row r="153" ht="17.25" customHeight="1">
      <c r="A153" s="22"/>
    </row>
    <row r="154" ht="17.25" customHeight="1">
      <c r="A154" s="22"/>
    </row>
    <row r="155" ht="17.25" customHeight="1">
      <c r="A155" s="22"/>
    </row>
    <row r="156" ht="17.25" customHeight="1">
      <c r="A156" s="22"/>
    </row>
    <row r="157" ht="17.25" customHeight="1">
      <c r="A157" s="22"/>
    </row>
    <row r="158" ht="17.25" customHeight="1">
      <c r="A158" s="22"/>
    </row>
    <row r="159" ht="17.25" customHeight="1">
      <c r="A159" s="22"/>
    </row>
    <row r="160" ht="17.25" customHeight="1">
      <c r="A160" s="22"/>
    </row>
    <row r="161" ht="17.25" customHeight="1">
      <c r="A161" s="22"/>
    </row>
    <row r="162" ht="17.25" customHeight="1">
      <c r="A162" s="22"/>
    </row>
    <row r="163" ht="17.25" customHeight="1">
      <c r="A163" s="22"/>
    </row>
    <row r="164" ht="17.25" customHeight="1">
      <c r="A164" s="22"/>
    </row>
    <row r="165" ht="17.25" customHeight="1">
      <c r="A165" s="22"/>
    </row>
    <row r="166" ht="17.25" customHeight="1">
      <c r="A166" s="22"/>
    </row>
    <row r="167" ht="17.25" customHeight="1">
      <c r="A167" s="22"/>
    </row>
    <row r="168" ht="17.25" customHeight="1">
      <c r="A168" s="22"/>
    </row>
    <row r="169" ht="17.25" customHeight="1">
      <c r="A169" s="22"/>
    </row>
    <row r="170" ht="17.25" customHeight="1">
      <c r="A170" s="22"/>
    </row>
    <row r="171" ht="17.25" customHeight="1">
      <c r="A171" s="22"/>
    </row>
    <row r="172" ht="17.25" customHeight="1">
      <c r="A172" s="22"/>
    </row>
    <row r="173" ht="17.25" customHeight="1">
      <c r="A173" s="22"/>
    </row>
    <row r="174" ht="17.25" customHeight="1">
      <c r="A174" s="22"/>
    </row>
    <row r="175" ht="17.25" customHeight="1">
      <c r="A175" s="22"/>
    </row>
    <row r="176" ht="17.25" customHeight="1">
      <c r="A176" s="22"/>
    </row>
    <row r="177" ht="17.25" customHeight="1">
      <c r="A177" s="22"/>
    </row>
    <row r="178" ht="17.25" customHeight="1">
      <c r="A178" s="22"/>
    </row>
    <row r="179" ht="17.25" customHeight="1">
      <c r="A179" s="22"/>
    </row>
    <row r="180" ht="17.25" customHeight="1">
      <c r="A180" s="22"/>
    </row>
    <row r="181" ht="17.25" customHeight="1">
      <c r="A181" s="22"/>
    </row>
    <row r="182" ht="17.25" customHeight="1">
      <c r="A182" s="22"/>
    </row>
    <row r="183" ht="17.25" customHeight="1">
      <c r="A183" s="22"/>
    </row>
    <row r="184" ht="17.25" customHeight="1">
      <c r="A184" s="22"/>
    </row>
    <row r="185" ht="17.25" customHeight="1">
      <c r="A185" s="22"/>
    </row>
    <row r="186" ht="17.25" customHeight="1">
      <c r="A186" s="22"/>
    </row>
    <row r="187" ht="17.25" customHeight="1">
      <c r="A187" s="22"/>
    </row>
    <row r="188" ht="17.25" customHeight="1">
      <c r="A188" s="22"/>
    </row>
    <row r="189" ht="17.25" customHeight="1">
      <c r="A189" s="22"/>
    </row>
    <row r="190" ht="17.25" customHeight="1">
      <c r="A190" s="22"/>
    </row>
    <row r="191" ht="17.25" customHeight="1">
      <c r="A191" s="22"/>
    </row>
    <row r="192" ht="17.25" customHeight="1">
      <c r="A192" s="22"/>
    </row>
    <row r="193" ht="17.25" customHeight="1">
      <c r="A193" s="22"/>
    </row>
    <row r="194" ht="17.25" customHeight="1">
      <c r="A194" s="22"/>
    </row>
    <row r="195" ht="17.25" customHeight="1">
      <c r="A195" s="22"/>
    </row>
    <row r="196" ht="17.25" customHeight="1">
      <c r="A196" s="22"/>
    </row>
    <row r="197" ht="17.25" customHeight="1">
      <c r="A197" s="22"/>
    </row>
    <row r="198" ht="17.25" customHeight="1">
      <c r="A198" s="22"/>
    </row>
    <row r="199" ht="17.25" customHeight="1">
      <c r="A199" s="22"/>
    </row>
    <row r="200" ht="17.25" customHeight="1">
      <c r="A200" s="22"/>
    </row>
    <row r="201" ht="17.25" customHeight="1">
      <c r="A201" s="22"/>
    </row>
    <row r="202" ht="17.25" customHeight="1">
      <c r="A202" s="22"/>
    </row>
    <row r="203" ht="17.25" customHeight="1">
      <c r="A203" s="22"/>
    </row>
    <row r="204" ht="17.25" customHeight="1">
      <c r="A204" s="22"/>
    </row>
    <row r="205" ht="17.25" customHeight="1">
      <c r="A205" s="22"/>
    </row>
    <row r="206" ht="17.25" customHeight="1">
      <c r="A206" s="22"/>
    </row>
    <row r="207" ht="17.25" customHeight="1">
      <c r="A207" s="22"/>
    </row>
    <row r="208" ht="17.25" customHeight="1">
      <c r="A208" s="22"/>
    </row>
    <row r="209" ht="17.25" customHeight="1">
      <c r="A209" s="22"/>
    </row>
    <row r="210" ht="17.25" customHeight="1">
      <c r="A210" s="22"/>
    </row>
    <row r="211" ht="17.25" customHeight="1">
      <c r="A211" s="22"/>
    </row>
    <row r="212" ht="17.25" customHeight="1">
      <c r="A212" s="22"/>
    </row>
    <row r="213" ht="17.25" customHeight="1">
      <c r="A213" s="22"/>
    </row>
    <row r="214" ht="17.25" customHeight="1">
      <c r="A214" s="22"/>
    </row>
    <row r="215" ht="17.25" customHeight="1">
      <c r="A215" s="22"/>
    </row>
    <row r="216" ht="17.25" customHeight="1">
      <c r="A216" s="22"/>
    </row>
    <row r="217" ht="17.25" customHeight="1">
      <c r="A217" s="22"/>
    </row>
    <row r="218" ht="17.25" customHeight="1">
      <c r="A218" s="22"/>
    </row>
    <row r="219" ht="17.25" customHeight="1">
      <c r="A219" s="22"/>
    </row>
    <row r="220" ht="17.25" customHeight="1">
      <c r="A220" s="22"/>
    </row>
    <row r="221" ht="17.25" customHeight="1">
      <c r="A221" s="22"/>
    </row>
    <row r="222" ht="17.25" customHeight="1">
      <c r="A222" s="22"/>
    </row>
    <row r="223" ht="17.25" customHeight="1">
      <c r="A223" s="22"/>
    </row>
    <row r="224" ht="17.25" customHeight="1">
      <c r="A224" s="22"/>
    </row>
    <row r="225" ht="17.25" customHeight="1">
      <c r="A225" s="22"/>
    </row>
    <row r="226" ht="17.25" customHeight="1">
      <c r="A226" s="22"/>
    </row>
    <row r="227" ht="17.25" customHeight="1">
      <c r="A227" s="22"/>
    </row>
    <row r="228" ht="17.25" customHeight="1">
      <c r="A228" s="22"/>
    </row>
    <row r="229" ht="17.25" customHeight="1">
      <c r="A229" s="22"/>
    </row>
    <row r="230" ht="17.25" customHeight="1">
      <c r="A230" s="22"/>
    </row>
    <row r="231" ht="17.25" customHeight="1">
      <c r="A231" s="22"/>
    </row>
    <row r="232" ht="17.25" customHeight="1">
      <c r="A232" s="22"/>
    </row>
    <row r="233" ht="17.25" customHeight="1">
      <c r="A233" s="22"/>
    </row>
    <row r="234" ht="17.25" customHeight="1">
      <c r="A234" s="22"/>
    </row>
    <row r="235" ht="17.25" customHeight="1">
      <c r="A235" s="22"/>
    </row>
    <row r="236" ht="17.25" customHeight="1">
      <c r="A236" s="22"/>
    </row>
    <row r="237" ht="17.25" customHeight="1">
      <c r="A237" s="22"/>
    </row>
    <row r="238" ht="17.25" customHeight="1">
      <c r="A238" s="22"/>
    </row>
    <row r="239" ht="17.25" customHeight="1">
      <c r="A239" s="22"/>
    </row>
    <row r="240" ht="17.25" customHeight="1">
      <c r="A240" s="22"/>
    </row>
    <row r="241" ht="17.25" customHeight="1">
      <c r="A241" s="22"/>
    </row>
    <row r="242" ht="17.25" customHeight="1">
      <c r="A242" s="22"/>
    </row>
    <row r="243" ht="17.25" customHeight="1">
      <c r="A243" s="22"/>
    </row>
    <row r="244" ht="17.25" customHeight="1">
      <c r="A244" s="22"/>
    </row>
    <row r="245" ht="17.25" customHeight="1">
      <c r="A245" s="22"/>
    </row>
    <row r="246" ht="17.25" customHeight="1">
      <c r="A246" s="22"/>
    </row>
    <row r="247" ht="17.25" customHeight="1">
      <c r="A247" s="22"/>
    </row>
    <row r="248" ht="17.25" customHeight="1">
      <c r="A248" s="22"/>
      <c r="C248" s="64"/>
    </row>
    <row r="249" ht="17.25" customHeight="1">
      <c r="A249" s="22"/>
      <c r="C249" s="64"/>
    </row>
    <row r="250" ht="17.25" customHeight="1">
      <c r="A250" s="22"/>
      <c r="C250" s="64"/>
    </row>
    <row r="251" ht="17.25" customHeight="1">
      <c r="A251" s="22"/>
      <c r="C251" s="64"/>
    </row>
    <row r="252" ht="17.25" customHeight="1">
      <c r="A252" s="22"/>
      <c r="C252" s="64"/>
    </row>
    <row r="253" ht="17.25" customHeight="1">
      <c r="A253" s="22"/>
      <c r="C253" s="64"/>
    </row>
    <row r="254" ht="17.25" customHeight="1">
      <c r="A254" s="22"/>
      <c r="C254" s="64"/>
    </row>
    <row r="255" ht="17.25" customHeight="1">
      <c r="A255" s="22"/>
      <c r="C255" s="64"/>
    </row>
    <row r="256" ht="17.25" customHeight="1">
      <c r="A256" s="22"/>
      <c r="C256" s="64"/>
    </row>
    <row r="257" ht="17.25" customHeight="1">
      <c r="A257" s="22"/>
      <c r="C257" s="64"/>
    </row>
    <row r="258" ht="17.25" customHeight="1">
      <c r="A258" s="22"/>
      <c r="C258" s="64"/>
    </row>
    <row r="259" ht="17.25" customHeight="1">
      <c r="A259" s="22"/>
      <c r="C259" s="64"/>
    </row>
    <row r="260" ht="17.25" customHeight="1">
      <c r="A260" s="22"/>
      <c r="C260" s="64"/>
    </row>
    <row r="261" ht="17.25" customHeight="1">
      <c r="A261" s="22"/>
      <c r="C261" s="64"/>
    </row>
    <row r="262" ht="17.25" customHeight="1">
      <c r="A262" s="22"/>
      <c r="C262" s="64"/>
    </row>
    <row r="263" ht="17.25" customHeight="1">
      <c r="A263" s="22"/>
      <c r="C263" s="64"/>
    </row>
    <row r="264" ht="17.25" customHeight="1">
      <c r="A264" s="22"/>
      <c r="C264" s="64"/>
    </row>
    <row r="265" ht="17.25" customHeight="1">
      <c r="A265" s="22"/>
      <c r="C265" s="64"/>
    </row>
    <row r="266" ht="17.25" customHeight="1">
      <c r="A266" s="22"/>
      <c r="C266" s="64"/>
    </row>
    <row r="267" ht="17.25" customHeight="1">
      <c r="A267" s="22"/>
      <c r="C267" s="64"/>
    </row>
    <row r="268" ht="17.25" customHeight="1">
      <c r="A268" s="22"/>
      <c r="C268" s="64"/>
    </row>
    <row r="269" ht="17.25" customHeight="1">
      <c r="A269" s="22"/>
      <c r="C269" s="64"/>
    </row>
    <row r="270" ht="17.25" customHeight="1">
      <c r="A270" s="22"/>
      <c r="C270" s="64"/>
    </row>
    <row r="271" ht="17.25" customHeight="1">
      <c r="A271" s="22"/>
      <c r="C271" s="64"/>
    </row>
    <row r="272" ht="17.25" customHeight="1">
      <c r="A272" s="22"/>
      <c r="C272" s="64"/>
    </row>
    <row r="273" ht="17.25" customHeight="1">
      <c r="A273" s="22"/>
      <c r="C273" s="64"/>
    </row>
    <row r="274" ht="17.25" customHeight="1">
      <c r="A274" s="22"/>
      <c r="C274" s="64"/>
    </row>
    <row r="275" ht="17.25" customHeight="1">
      <c r="A275" s="22"/>
      <c r="C275" s="64"/>
    </row>
    <row r="276" ht="17.25" customHeight="1">
      <c r="A276" s="22"/>
      <c r="C276" s="64"/>
    </row>
    <row r="277" ht="17.25" customHeight="1">
      <c r="A277" s="22"/>
      <c r="C277" s="64"/>
    </row>
    <row r="278" ht="17.25" customHeight="1">
      <c r="A278" s="22"/>
      <c r="C278" s="64"/>
    </row>
    <row r="279" ht="17.25" customHeight="1">
      <c r="A279" s="22"/>
      <c r="C279" s="64"/>
    </row>
    <row r="280" ht="17.25" customHeight="1">
      <c r="A280" s="22"/>
      <c r="C280" s="64"/>
    </row>
    <row r="281" ht="17.25" customHeight="1">
      <c r="A281" s="22"/>
      <c r="C281" s="64"/>
    </row>
    <row r="282" ht="17.25" customHeight="1">
      <c r="A282" s="22"/>
      <c r="C282" s="64"/>
    </row>
    <row r="283" ht="17.25" customHeight="1">
      <c r="A283" s="22"/>
      <c r="C283" s="64"/>
    </row>
    <row r="284" ht="17.25" customHeight="1">
      <c r="A284" s="22"/>
      <c r="C284" s="64"/>
    </row>
    <row r="285" ht="17.25" customHeight="1">
      <c r="A285" s="22"/>
      <c r="C285" s="64"/>
    </row>
    <row r="286" ht="17.25" customHeight="1">
      <c r="A286" s="22"/>
      <c r="C286" s="64"/>
    </row>
    <row r="287" ht="17.25" customHeight="1">
      <c r="A287" s="22"/>
      <c r="C287" s="64"/>
    </row>
    <row r="288" ht="17.25" customHeight="1">
      <c r="A288" s="22"/>
      <c r="C288" s="64"/>
    </row>
    <row r="289" ht="17.25" customHeight="1">
      <c r="A289" s="22"/>
      <c r="C289" s="64"/>
    </row>
    <row r="290" ht="17.25" customHeight="1">
      <c r="A290" s="22"/>
      <c r="C290" s="64"/>
    </row>
    <row r="291" ht="17.25" customHeight="1">
      <c r="A291" s="22"/>
      <c r="C291" s="64"/>
    </row>
    <row r="292" ht="17.25" customHeight="1">
      <c r="A292" s="22"/>
      <c r="C292" s="64"/>
    </row>
    <row r="293" ht="17.25" customHeight="1">
      <c r="A293" s="22"/>
      <c r="C293" s="64"/>
    </row>
    <row r="294" ht="17.25" customHeight="1">
      <c r="A294" s="22"/>
      <c r="C294" s="64"/>
    </row>
    <row r="295" ht="17.25" customHeight="1">
      <c r="A295" s="22"/>
      <c r="C295" s="64"/>
    </row>
    <row r="296" ht="17.25" customHeight="1">
      <c r="A296" s="22"/>
      <c r="C296" s="64"/>
    </row>
    <row r="297" ht="17.25" customHeight="1">
      <c r="A297" s="22"/>
      <c r="C297" s="64"/>
    </row>
    <row r="298" ht="17.25" customHeight="1">
      <c r="A298" s="22"/>
      <c r="C298" s="64"/>
    </row>
    <row r="299" ht="17.25" customHeight="1">
      <c r="A299" s="22"/>
      <c r="C299" s="64"/>
    </row>
    <row r="300" ht="17.25" customHeight="1">
      <c r="A300" s="22"/>
      <c r="C300" s="64"/>
    </row>
    <row r="301" ht="17.25" customHeight="1">
      <c r="A301" s="22"/>
      <c r="C301" s="64"/>
    </row>
    <row r="302" ht="17.25" customHeight="1">
      <c r="A302" s="22"/>
      <c r="C302" s="64"/>
    </row>
    <row r="303" ht="17.25" customHeight="1">
      <c r="A303" s="22"/>
      <c r="C303" s="64"/>
    </row>
    <row r="304" ht="17.25" customHeight="1">
      <c r="A304" s="22"/>
      <c r="C304" s="64"/>
    </row>
    <row r="305" ht="17.25" customHeight="1">
      <c r="A305" s="22"/>
      <c r="C305" s="64"/>
    </row>
    <row r="306" ht="17.25" customHeight="1">
      <c r="A306" s="22"/>
      <c r="C306" s="64"/>
    </row>
    <row r="307" ht="17.25" customHeight="1">
      <c r="A307" s="22"/>
      <c r="C307" s="64"/>
    </row>
    <row r="308" ht="17.25" customHeight="1">
      <c r="A308" s="22"/>
      <c r="C308" s="64"/>
    </row>
    <row r="309" ht="17.25" customHeight="1">
      <c r="A309" s="22"/>
      <c r="C309" s="64"/>
    </row>
    <row r="310" ht="17.25" customHeight="1">
      <c r="A310" s="22"/>
      <c r="C310" s="64"/>
    </row>
    <row r="311" ht="17.25" customHeight="1">
      <c r="A311" s="22"/>
      <c r="C311" s="64"/>
    </row>
    <row r="312" ht="17.25" customHeight="1">
      <c r="A312" s="22"/>
      <c r="C312" s="64"/>
    </row>
    <row r="313" ht="17.25" customHeight="1">
      <c r="A313" s="22"/>
      <c r="C313" s="64"/>
    </row>
    <row r="314" ht="17.25" customHeight="1">
      <c r="A314" s="22"/>
      <c r="C314" s="64"/>
    </row>
    <row r="315" ht="17.25" customHeight="1">
      <c r="A315" s="22"/>
      <c r="C315" s="64"/>
    </row>
    <row r="316" ht="17.25" customHeight="1">
      <c r="A316" s="22"/>
      <c r="C316" s="64"/>
    </row>
    <row r="317" ht="17.25" customHeight="1">
      <c r="A317" s="22"/>
      <c r="C317" s="64"/>
    </row>
    <row r="318" ht="17.25" customHeight="1">
      <c r="A318" s="22"/>
      <c r="C318" s="64"/>
    </row>
    <row r="319" ht="17.25" customHeight="1">
      <c r="A319" s="22"/>
      <c r="C319" s="64"/>
    </row>
    <row r="320" ht="17.25" customHeight="1">
      <c r="A320" s="22"/>
      <c r="C320" s="64"/>
    </row>
    <row r="321" ht="17.25" customHeight="1">
      <c r="A321" s="22"/>
      <c r="C321" s="64"/>
    </row>
    <row r="322" ht="17.25" customHeight="1">
      <c r="A322" s="22"/>
      <c r="C322" s="64"/>
    </row>
    <row r="323" ht="17.25" customHeight="1">
      <c r="A323" s="22"/>
      <c r="C323" s="64"/>
    </row>
    <row r="324" ht="17.25" customHeight="1">
      <c r="A324" s="22"/>
      <c r="C324" s="64"/>
    </row>
    <row r="325" ht="17.25" customHeight="1">
      <c r="A325" s="22"/>
      <c r="C325" s="64"/>
    </row>
    <row r="326" ht="17.25" customHeight="1">
      <c r="A326" s="22"/>
      <c r="C326" s="64"/>
    </row>
    <row r="327" ht="17.25" customHeight="1">
      <c r="A327" s="22"/>
      <c r="C327" s="64"/>
    </row>
    <row r="328" ht="17.25" customHeight="1">
      <c r="A328" s="22"/>
      <c r="C328" s="64"/>
    </row>
    <row r="329" ht="17.25" customHeight="1">
      <c r="A329" s="22"/>
      <c r="C329" s="64"/>
    </row>
    <row r="330" ht="17.25" customHeight="1">
      <c r="A330" s="22"/>
      <c r="C330" s="64"/>
    </row>
    <row r="331" ht="17.25" customHeight="1">
      <c r="A331" s="22"/>
      <c r="C331" s="64"/>
    </row>
    <row r="332" ht="17.25" customHeight="1">
      <c r="A332" s="22"/>
      <c r="C332" s="64"/>
    </row>
    <row r="333" ht="17.25" customHeight="1">
      <c r="A333" s="22"/>
      <c r="C333" s="64"/>
    </row>
    <row r="334" ht="17.25" customHeight="1">
      <c r="A334" s="22"/>
      <c r="C334" s="64"/>
    </row>
    <row r="335" ht="17.25" customHeight="1">
      <c r="A335" s="22"/>
      <c r="C335" s="64"/>
    </row>
    <row r="336" ht="17.25" customHeight="1">
      <c r="A336" s="22"/>
      <c r="C336" s="64"/>
    </row>
    <row r="337" ht="17.25" customHeight="1">
      <c r="A337" s="22"/>
      <c r="C337" s="64"/>
    </row>
    <row r="338" ht="17.25" customHeight="1">
      <c r="A338" s="22"/>
      <c r="C338" s="64"/>
    </row>
    <row r="339" ht="17.25" customHeight="1">
      <c r="A339" s="22"/>
      <c r="C339" s="64"/>
    </row>
    <row r="340" ht="17.25" customHeight="1">
      <c r="A340" s="22"/>
      <c r="C340" s="64"/>
    </row>
    <row r="341" ht="17.25" customHeight="1">
      <c r="A341" s="22"/>
      <c r="C341" s="64"/>
    </row>
    <row r="342" ht="17.25" customHeight="1">
      <c r="A342" s="22"/>
      <c r="C342" s="64"/>
    </row>
    <row r="343" ht="17.25" customHeight="1">
      <c r="A343" s="22"/>
      <c r="C343" s="64"/>
    </row>
    <row r="344" ht="17.25" customHeight="1">
      <c r="A344" s="22"/>
      <c r="C344" s="64"/>
    </row>
    <row r="345" ht="17.25" customHeight="1">
      <c r="A345" s="22"/>
      <c r="C345" s="64"/>
    </row>
    <row r="346" ht="17.25" customHeight="1">
      <c r="A346" s="22"/>
      <c r="C346" s="64"/>
    </row>
    <row r="347" ht="17.25" customHeight="1">
      <c r="A347" s="22"/>
      <c r="C347" s="64"/>
    </row>
    <row r="348" ht="17.25" customHeight="1">
      <c r="A348" s="22"/>
      <c r="C348" s="64"/>
    </row>
    <row r="349" ht="17.25" customHeight="1">
      <c r="A349" s="22"/>
      <c r="C349" s="64"/>
    </row>
    <row r="350" ht="17.25" customHeight="1">
      <c r="A350" s="22"/>
      <c r="C350" s="64"/>
    </row>
    <row r="351" ht="17.25" customHeight="1">
      <c r="A351" s="22"/>
      <c r="C351" s="64"/>
    </row>
    <row r="352" ht="17.25" customHeight="1">
      <c r="A352" s="22"/>
      <c r="C352" s="64"/>
    </row>
    <row r="353" ht="17.25" customHeight="1">
      <c r="A353" s="22"/>
      <c r="C353" s="64"/>
    </row>
    <row r="354" ht="17.25" customHeight="1">
      <c r="A354" s="22"/>
      <c r="C354" s="64"/>
    </row>
    <row r="355" ht="17.25" customHeight="1">
      <c r="A355" s="22"/>
      <c r="C355" s="64"/>
    </row>
    <row r="356" ht="17.25" customHeight="1">
      <c r="A356" s="22"/>
      <c r="C356" s="64"/>
    </row>
    <row r="357" ht="17.25" customHeight="1">
      <c r="A357" s="22"/>
      <c r="C357" s="64"/>
    </row>
    <row r="358" ht="17.25" customHeight="1">
      <c r="A358" s="22"/>
      <c r="C358" s="64"/>
    </row>
    <row r="359" ht="17.25" customHeight="1">
      <c r="A359" s="22"/>
      <c r="C359" s="64"/>
    </row>
    <row r="360" ht="17.25" customHeight="1">
      <c r="A360" s="22"/>
      <c r="C360" s="64"/>
    </row>
    <row r="361" ht="17.25" customHeight="1">
      <c r="A361" s="22"/>
      <c r="C361" s="64"/>
    </row>
    <row r="362" ht="17.25" customHeight="1">
      <c r="A362" s="22"/>
      <c r="C362" s="64"/>
    </row>
    <row r="363" ht="17.25" customHeight="1">
      <c r="A363" s="22"/>
      <c r="C363" s="64"/>
    </row>
    <row r="364" ht="17.25" customHeight="1">
      <c r="A364" s="22"/>
      <c r="C364" s="64"/>
    </row>
    <row r="365" ht="17.25" customHeight="1">
      <c r="A365" s="22"/>
      <c r="C365" s="64"/>
    </row>
    <row r="366" ht="17.25" customHeight="1">
      <c r="A366" s="22"/>
      <c r="C366" s="64"/>
    </row>
    <row r="367" ht="17.25" customHeight="1">
      <c r="A367" s="22"/>
      <c r="C367" s="64"/>
    </row>
    <row r="368" ht="17.25" customHeight="1">
      <c r="A368" s="22"/>
      <c r="C368" s="64"/>
    </row>
    <row r="369" ht="17.25" customHeight="1">
      <c r="A369" s="22"/>
      <c r="C369" s="64"/>
    </row>
    <row r="370" ht="17.25" customHeight="1">
      <c r="A370" s="22"/>
      <c r="C370" s="64"/>
    </row>
    <row r="371" ht="17.25" customHeight="1">
      <c r="A371" s="22"/>
      <c r="C371" s="64"/>
    </row>
    <row r="372" ht="17.25" customHeight="1">
      <c r="A372" s="22"/>
      <c r="C372" s="64"/>
    </row>
    <row r="373" ht="17.25" customHeight="1">
      <c r="A373" s="22"/>
      <c r="C373" s="64"/>
    </row>
    <row r="374" ht="17.25" customHeight="1">
      <c r="A374" s="22"/>
      <c r="C374" s="64"/>
    </row>
    <row r="375" ht="17.25" customHeight="1">
      <c r="A375" s="22"/>
      <c r="C375" s="64"/>
    </row>
    <row r="376" ht="17.25" customHeight="1">
      <c r="A376" s="22"/>
      <c r="C376" s="64"/>
    </row>
    <row r="377" ht="17.25" customHeight="1">
      <c r="A377" s="22"/>
      <c r="C377" s="64"/>
    </row>
    <row r="378" ht="17.25" customHeight="1">
      <c r="A378" s="22"/>
      <c r="C378" s="64"/>
    </row>
    <row r="379" ht="17.25" customHeight="1">
      <c r="A379" s="22"/>
      <c r="C379" s="64"/>
    </row>
    <row r="380" ht="17.25" customHeight="1">
      <c r="A380" s="22"/>
      <c r="C380" s="64"/>
    </row>
    <row r="381" ht="17.25" customHeight="1">
      <c r="A381" s="22"/>
      <c r="C381" s="64"/>
    </row>
    <row r="382" ht="17.25" customHeight="1">
      <c r="A382" s="22"/>
      <c r="C382" s="64"/>
    </row>
    <row r="383" ht="17.25" customHeight="1">
      <c r="A383" s="22"/>
      <c r="C383" s="64"/>
    </row>
    <row r="384" ht="17.25" customHeight="1">
      <c r="A384" s="22"/>
      <c r="C384" s="64"/>
    </row>
    <row r="385" ht="17.25" customHeight="1">
      <c r="A385" s="22"/>
      <c r="C385" s="64"/>
    </row>
    <row r="386" ht="17.25" customHeight="1">
      <c r="A386" s="22"/>
      <c r="C386" s="64"/>
    </row>
    <row r="387" ht="17.25" customHeight="1">
      <c r="A387" s="22"/>
      <c r="C387" s="64"/>
    </row>
    <row r="388" ht="17.25" customHeight="1">
      <c r="A388" s="22"/>
      <c r="C388" s="64"/>
    </row>
    <row r="389" ht="17.25" customHeight="1">
      <c r="A389" s="22"/>
      <c r="C389" s="64"/>
    </row>
    <row r="390" ht="17.25" customHeight="1">
      <c r="A390" s="22"/>
      <c r="C390" s="64"/>
    </row>
    <row r="391" ht="17.25" customHeight="1">
      <c r="A391" s="22"/>
      <c r="C391" s="64"/>
    </row>
    <row r="392" ht="17.25" customHeight="1">
      <c r="A392" s="22"/>
      <c r="C392" s="64"/>
    </row>
    <row r="393" ht="17.25" customHeight="1">
      <c r="A393" s="22"/>
      <c r="C393" s="64"/>
    </row>
    <row r="394" ht="17.25" customHeight="1">
      <c r="A394" s="22"/>
      <c r="C394" s="64"/>
    </row>
    <row r="395" ht="17.25" customHeight="1">
      <c r="A395" s="22"/>
      <c r="C395" s="64"/>
    </row>
    <row r="396" ht="17.25" customHeight="1">
      <c r="A396" s="22"/>
      <c r="C396" s="64"/>
    </row>
    <row r="397" ht="17.25" customHeight="1">
      <c r="A397" s="22"/>
      <c r="C397" s="64"/>
    </row>
    <row r="398" ht="17.25" customHeight="1">
      <c r="A398" s="22"/>
      <c r="C398" s="64"/>
    </row>
    <row r="399" ht="17.25" customHeight="1">
      <c r="A399" s="22"/>
      <c r="C399" s="64"/>
    </row>
    <row r="400" ht="17.25" customHeight="1">
      <c r="A400" s="22"/>
      <c r="C400" s="64"/>
    </row>
    <row r="401" ht="17.25" customHeight="1">
      <c r="A401" s="22"/>
      <c r="C401" s="64"/>
    </row>
    <row r="402" ht="17.25" customHeight="1">
      <c r="A402" s="22"/>
      <c r="C402" s="64"/>
    </row>
    <row r="403" ht="17.25" customHeight="1">
      <c r="A403" s="22"/>
      <c r="C403" s="64"/>
    </row>
    <row r="404" ht="17.25" customHeight="1">
      <c r="A404" s="22"/>
      <c r="C404" s="64"/>
    </row>
    <row r="405" ht="17.25" customHeight="1">
      <c r="A405" s="22"/>
      <c r="C405" s="64"/>
    </row>
    <row r="406" ht="17.25" customHeight="1">
      <c r="A406" s="22"/>
      <c r="C406" s="64"/>
    </row>
    <row r="407" ht="17.25" customHeight="1">
      <c r="A407" s="22"/>
      <c r="C407" s="64"/>
    </row>
    <row r="408" ht="17.25" customHeight="1">
      <c r="A408" s="22"/>
      <c r="C408" s="64"/>
    </row>
    <row r="409" ht="17.25" customHeight="1">
      <c r="A409" s="22"/>
      <c r="C409" s="64"/>
    </row>
    <row r="410" ht="17.25" customHeight="1">
      <c r="A410" s="22"/>
      <c r="C410" s="64"/>
    </row>
    <row r="411" ht="17.25" customHeight="1">
      <c r="A411" s="22"/>
      <c r="C411" s="64"/>
    </row>
    <row r="412" ht="17.25" customHeight="1">
      <c r="A412" s="22"/>
      <c r="C412" s="64"/>
    </row>
    <row r="413" ht="17.25" customHeight="1">
      <c r="A413" s="22"/>
      <c r="C413" s="64"/>
    </row>
    <row r="414" ht="17.25" customHeight="1">
      <c r="A414" s="22"/>
      <c r="C414" s="64"/>
    </row>
    <row r="415" ht="17.25" customHeight="1">
      <c r="A415" s="22"/>
      <c r="C415" s="64"/>
    </row>
    <row r="416" ht="17.25" customHeight="1">
      <c r="A416" s="22"/>
      <c r="C416" s="64"/>
    </row>
    <row r="417" ht="17.25" customHeight="1">
      <c r="A417" s="22"/>
      <c r="C417" s="64"/>
    </row>
    <row r="418" ht="17.25" customHeight="1">
      <c r="A418" s="22"/>
      <c r="C418" s="64"/>
    </row>
    <row r="419" ht="17.25" customHeight="1">
      <c r="A419" s="22"/>
      <c r="C419" s="64"/>
    </row>
    <row r="420" ht="17.25" customHeight="1">
      <c r="A420" s="22"/>
      <c r="C420" s="64"/>
    </row>
    <row r="421" ht="17.25" customHeight="1">
      <c r="A421" s="22"/>
      <c r="C421" s="64"/>
    </row>
    <row r="422" ht="17.25" customHeight="1">
      <c r="A422" s="22"/>
      <c r="C422" s="64"/>
    </row>
    <row r="423" ht="17.25" customHeight="1">
      <c r="A423" s="22"/>
      <c r="C423" s="64"/>
    </row>
    <row r="424" ht="17.25" customHeight="1">
      <c r="A424" s="22"/>
      <c r="C424" s="64"/>
    </row>
    <row r="425" ht="17.25" customHeight="1">
      <c r="A425" s="22"/>
      <c r="C425" s="64"/>
    </row>
    <row r="426" ht="17.25" customHeight="1">
      <c r="A426" s="22"/>
      <c r="C426" s="64"/>
    </row>
    <row r="427" ht="17.25" customHeight="1">
      <c r="A427" s="22"/>
      <c r="C427" s="64"/>
    </row>
    <row r="428" ht="17.25" customHeight="1">
      <c r="A428" s="22"/>
      <c r="C428" s="64"/>
    </row>
    <row r="429" ht="17.25" customHeight="1">
      <c r="A429" s="22"/>
      <c r="C429" s="64"/>
    </row>
    <row r="430" ht="17.25" customHeight="1">
      <c r="A430" s="22"/>
      <c r="C430" s="64"/>
    </row>
    <row r="431" ht="17.25" customHeight="1">
      <c r="A431" s="22"/>
      <c r="C431" s="64"/>
    </row>
    <row r="432" ht="17.25" customHeight="1">
      <c r="A432" s="22"/>
      <c r="C432" s="64"/>
    </row>
    <row r="433" ht="17.25" customHeight="1">
      <c r="A433" s="22"/>
      <c r="C433" s="64"/>
    </row>
    <row r="434" ht="17.25" customHeight="1">
      <c r="A434" s="22"/>
      <c r="C434" s="64"/>
    </row>
    <row r="435" ht="17.25" customHeight="1">
      <c r="A435" s="22"/>
      <c r="C435" s="64"/>
    </row>
    <row r="436" ht="17.25" customHeight="1">
      <c r="A436" s="22"/>
      <c r="C436" s="64"/>
    </row>
    <row r="437" ht="17.25" customHeight="1">
      <c r="A437" s="22"/>
      <c r="C437" s="64"/>
    </row>
    <row r="438" ht="17.25" customHeight="1">
      <c r="A438" s="22"/>
      <c r="C438" s="64"/>
    </row>
    <row r="439" ht="17.25" customHeight="1">
      <c r="A439" s="22"/>
      <c r="C439" s="64"/>
    </row>
    <row r="440" ht="17.25" customHeight="1">
      <c r="A440" s="22"/>
      <c r="C440" s="64"/>
    </row>
    <row r="441" ht="17.25" customHeight="1">
      <c r="A441" s="22"/>
      <c r="C441" s="64"/>
    </row>
    <row r="442" ht="17.25" customHeight="1">
      <c r="A442" s="22"/>
      <c r="C442" s="64"/>
    </row>
    <row r="443" ht="17.25" customHeight="1">
      <c r="A443" s="22"/>
      <c r="C443" s="64"/>
    </row>
    <row r="444" ht="17.25" customHeight="1">
      <c r="A444" s="22"/>
      <c r="C444" s="64"/>
    </row>
    <row r="445" ht="17.25" customHeight="1">
      <c r="A445" s="22"/>
      <c r="C445" s="64"/>
    </row>
    <row r="446" ht="17.25" customHeight="1">
      <c r="A446" s="22"/>
      <c r="C446" s="64"/>
    </row>
    <row r="447" ht="17.25" customHeight="1">
      <c r="A447" s="22"/>
      <c r="C447" s="64"/>
    </row>
    <row r="448" ht="17.25" customHeight="1">
      <c r="A448" s="22"/>
      <c r="C448" s="64"/>
    </row>
    <row r="449" ht="17.25" customHeight="1">
      <c r="A449" s="22"/>
      <c r="C449" s="64"/>
    </row>
    <row r="450" ht="17.25" customHeight="1">
      <c r="A450" s="22"/>
      <c r="C450" s="64"/>
    </row>
    <row r="451" ht="17.25" customHeight="1">
      <c r="A451" s="22"/>
      <c r="C451" s="64"/>
    </row>
    <row r="452" ht="17.25" customHeight="1">
      <c r="A452" s="22"/>
      <c r="C452" s="64"/>
    </row>
    <row r="453" ht="17.25" customHeight="1">
      <c r="A453" s="22"/>
      <c r="C453" s="64"/>
    </row>
    <row r="454" ht="17.25" customHeight="1">
      <c r="A454" s="22"/>
      <c r="C454" s="64"/>
    </row>
    <row r="455" ht="17.25" customHeight="1">
      <c r="A455" s="22"/>
      <c r="C455" s="64"/>
    </row>
    <row r="456" ht="17.25" customHeight="1">
      <c r="A456" s="22"/>
      <c r="C456" s="64"/>
    </row>
    <row r="457" ht="17.25" customHeight="1">
      <c r="A457" s="22"/>
      <c r="C457" s="64"/>
    </row>
    <row r="458" ht="17.25" customHeight="1">
      <c r="A458" s="22"/>
      <c r="C458" s="64"/>
    </row>
    <row r="459" ht="17.25" customHeight="1">
      <c r="A459" s="22"/>
      <c r="C459" s="64"/>
    </row>
    <row r="460" ht="17.25" customHeight="1">
      <c r="A460" s="22"/>
      <c r="C460" s="64"/>
    </row>
    <row r="461" ht="17.25" customHeight="1">
      <c r="A461" s="22"/>
      <c r="C461" s="64"/>
    </row>
    <row r="462" ht="17.25" customHeight="1">
      <c r="A462" s="22"/>
      <c r="C462" s="64"/>
    </row>
    <row r="463" ht="17.25" customHeight="1">
      <c r="A463" s="22"/>
      <c r="C463" s="64"/>
    </row>
    <row r="464" ht="17.25" customHeight="1">
      <c r="A464" s="22"/>
      <c r="C464" s="64"/>
    </row>
    <row r="465" ht="17.25" customHeight="1">
      <c r="A465" s="22"/>
      <c r="C465" s="64"/>
    </row>
    <row r="466" ht="17.25" customHeight="1">
      <c r="A466" s="22"/>
      <c r="C466" s="64"/>
    </row>
    <row r="467" ht="17.25" customHeight="1">
      <c r="A467" s="22"/>
      <c r="C467" s="64"/>
    </row>
    <row r="468" ht="17.25" customHeight="1">
      <c r="A468" s="22"/>
      <c r="C468" s="64"/>
    </row>
    <row r="469" ht="17.25" customHeight="1">
      <c r="A469" s="22"/>
      <c r="C469" s="64"/>
    </row>
    <row r="470" ht="17.25" customHeight="1">
      <c r="A470" s="22"/>
      <c r="C470" s="64"/>
    </row>
    <row r="471" ht="17.25" customHeight="1">
      <c r="A471" s="22"/>
      <c r="C471" s="64"/>
    </row>
    <row r="472" ht="17.25" customHeight="1">
      <c r="A472" s="22"/>
      <c r="C472" s="64"/>
    </row>
    <row r="473" ht="17.25" customHeight="1">
      <c r="A473" s="22"/>
      <c r="C473" s="64"/>
    </row>
    <row r="474" ht="17.25" customHeight="1">
      <c r="A474" s="22"/>
      <c r="C474" s="64"/>
    </row>
    <row r="475" ht="17.25" customHeight="1">
      <c r="A475" s="22"/>
      <c r="C475" s="64"/>
    </row>
    <row r="476" ht="17.25" customHeight="1">
      <c r="A476" s="22"/>
      <c r="C476" s="64"/>
    </row>
    <row r="477" ht="17.25" customHeight="1">
      <c r="A477" s="22"/>
      <c r="C477" s="64"/>
    </row>
    <row r="478" ht="17.25" customHeight="1">
      <c r="A478" s="22"/>
      <c r="C478" s="64"/>
    </row>
    <row r="479" ht="17.25" customHeight="1">
      <c r="A479" s="22"/>
      <c r="C479" s="64"/>
    </row>
    <row r="480" ht="17.25" customHeight="1">
      <c r="A480" s="22"/>
      <c r="C480" s="64"/>
    </row>
    <row r="481" ht="17.25" customHeight="1">
      <c r="A481" s="22"/>
      <c r="C481" s="64"/>
    </row>
    <row r="482" ht="17.25" customHeight="1">
      <c r="A482" s="22"/>
      <c r="C482" s="64"/>
    </row>
    <row r="483" ht="17.25" customHeight="1">
      <c r="A483" s="22"/>
      <c r="C483" s="64"/>
    </row>
    <row r="484" ht="17.25" customHeight="1">
      <c r="A484" s="22"/>
      <c r="C484" s="64"/>
    </row>
    <row r="485" ht="17.25" customHeight="1">
      <c r="A485" s="22"/>
      <c r="C485" s="64"/>
    </row>
    <row r="486" ht="17.25" customHeight="1">
      <c r="A486" s="22"/>
      <c r="C486" s="64"/>
    </row>
    <row r="487" ht="17.25" customHeight="1">
      <c r="A487" s="22"/>
      <c r="C487" s="64"/>
    </row>
    <row r="488" ht="17.25" customHeight="1">
      <c r="A488" s="22"/>
      <c r="C488" s="64"/>
    </row>
    <row r="489" ht="17.25" customHeight="1">
      <c r="A489" s="22"/>
      <c r="C489" s="64"/>
    </row>
    <row r="490" ht="17.25" customHeight="1">
      <c r="A490" s="22"/>
      <c r="C490" s="64"/>
    </row>
    <row r="491" ht="17.25" customHeight="1">
      <c r="A491" s="22"/>
      <c r="C491" s="64"/>
    </row>
    <row r="492" ht="17.25" customHeight="1">
      <c r="A492" s="22"/>
      <c r="C492" s="64"/>
    </row>
    <row r="493" ht="17.25" customHeight="1">
      <c r="A493" s="22"/>
      <c r="C493" s="64"/>
    </row>
    <row r="494" ht="17.25" customHeight="1">
      <c r="A494" s="22"/>
      <c r="C494" s="64"/>
    </row>
    <row r="495" ht="17.25" customHeight="1">
      <c r="A495" s="22"/>
      <c r="C495" s="64"/>
    </row>
    <row r="496" ht="17.25" customHeight="1">
      <c r="A496" s="22"/>
      <c r="C496" s="64"/>
    </row>
    <row r="497" ht="17.25" customHeight="1">
      <c r="A497" s="22"/>
      <c r="C497" s="64"/>
    </row>
    <row r="498" ht="17.25" customHeight="1">
      <c r="A498" s="22"/>
      <c r="C498" s="64"/>
    </row>
    <row r="499" ht="17.25" customHeight="1">
      <c r="A499" s="22"/>
      <c r="C499" s="64"/>
    </row>
    <row r="500" ht="17.25" customHeight="1">
      <c r="A500" s="22"/>
      <c r="C500" s="64"/>
    </row>
    <row r="501" ht="17.25" customHeight="1">
      <c r="A501" s="22"/>
      <c r="C501" s="64"/>
    </row>
    <row r="502" ht="17.25" customHeight="1">
      <c r="A502" s="22"/>
      <c r="C502" s="64"/>
    </row>
    <row r="503" ht="17.25" customHeight="1">
      <c r="A503" s="22"/>
      <c r="C503" s="64"/>
    </row>
    <row r="504" ht="17.25" customHeight="1">
      <c r="A504" s="22"/>
      <c r="C504" s="64"/>
    </row>
    <row r="505" ht="17.25" customHeight="1">
      <c r="A505" s="22"/>
      <c r="C505" s="64"/>
    </row>
    <row r="506" ht="17.25" customHeight="1">
      <c r="A506" s="22"/>
      <c r="C506" s="64"/>
    </row>
    <row r="507" ht="17.25" customHeight="1">
      <c r="A507" s="22"/>
      <c r="C507" s="64"/>
    </row>
    <row r="508" ht="17.25" customHeight="1">
      <c r="A508" s="22"/>
      <c r="C508" s="64"/>
    </row>
    <row r="509" ht="17.25" customHeight="1">
      <c r="A509" s="22"/>
      <c r="C509" s="64"/>
    </row>
    <row r="510" ht="17.25" customHeight="1">
      <c r="A510" s="22"/>
      <c r="C510" s="64"/>
    </row>
    <row r="511" ht="17.25" customHeight="1">
      <c r="A511" s="22"/>
      <c r="C511" s="64"/>
    </row>
    <row r="512" ht="17.25" customHeight="1">
      <c r="A512" s="22"/>
      <c r="C512" s="64"/>
    </row>
    <row r="513" ht="17.25" customHeight="1">
      <c r="A513" s="22"/>
      <c r="C513" s="64"/>
    </row>
    <row r="514" ht="17.25" customHeight="1">
      <c r="A514" s="22"/>
      <c r="C514" s="64"/>
    </row>
    <row r="515" ht="17.25" customHeight="1">
      <c r="A515" s="22"/>
      <c r="C515" s="64"/>
    </row>
    <row r="516" ht="17.25" customHeight="1">
      <c r="A516" s="22"/>
      <c r="C516" s="64"/>
    </row>
    <row r="517" ht="17.25" customHeight="1">
      <c r="A517" s="22"/>
      <c r="C517" s="64"/>
    </row>
    <row r="518" ht="17.25" customHeight="1">
      <c r="A518" s="22"/>
      <c r="C518" s="64"/>
    </row>
    <row r="519" ht="17.25" customHeight="1">
      <c r="A519" s="22"/>
      <c r="C519" s="64"/>
    </row>
    <row r="520" ht="17.25" customHeight="1">
      <c r="A520" s="22"/>
      <c r="C520" s="64"/>
    </row>
    <row r="521" ht="17.25" customHeight="1">
      <c r="A521" s="22"/>
      <c r="C521" s="64"/>
    </row>
    <row r="522" ht="17.25" customHeight="1">
      <c r="A522" s="22"/>
      <c r="C522" s="64"/>
    </row>
    <row r="523" ht="17.25" customHeight="1">
      <c r="A523" s="22"/>
      <c r="C523" s="64"/>
    </row>
    <row r="524" ht="17.25" customHeight="1">
      <c r="A524" s="22"/>
      <c r="C524" s="64"/>
    </row>
    <row r="525" ht="17.25" customHeight="1">
      <c r="A525" s="22"/>
      <c r="C525" s="64"/>
    </row>
    <row r="526" ht="17.25" customHeight="1">
      <c r="A526" s="22"/>
      <c r="C526" s="64"/>
    </row>
    <row r="527" ht="17.25" customHeight="1">
      <c r="A527" s="22"/>
      <c r="C527" s="64"/>
    </row>
    <row r="528" ht="17.25" customHeight="1">
      <c r="A528" s="22"/>
      <c r="C528" s="64"/>
    </row>
    <row r="529" ht="17.25" customHeight="1">
      <c r="A529" s="22"/>
      <c r="C529" s="64"/>
    </row>
    <row r="530" ht="17.25" customHeight="1">
      <c r="A530" s="22"/>
      <c r="C530" s="64"/>
    </row>
    <row r="531" ht="17.25" customHeight="1">
      <c r="A531" s="22"/>
      <c r="C531" s="64"/>
    </row>
    <row r="532" ht="17.25" customHeight="1">
      <c r="A532" s="22"/>
      <c r="C532" s="64"/>
    </row>
    <row r="533" ht="17.25" customHeight="1">
      <c r="A533" s="22"/>
      <c r="C533" s="64"/>
    </row>
    <row r="534" ht="17.25" customHeight="1">
      <c r="A534" s="22"/>
      <c r="C534" s="64"/>
    </row>
    <row r="535" ht="17.25" customHeight="1">
      <c r="A535" s="22"/>
      <c r="C535" s="64"/>
    </row>
    <row r="536" ht="17.25" customHeight="1">
      <c r="A536" s="22"/>
      <c r="C536" s="64"/>
    </row>
    <row r="537" ht="17.25" customHeight="1">
      <c r="A537" s="22"/>
      <c r="C537" s="64"/>
    </row>
    <row r="538" ht="17.25" customHeight="1">
      <c r="A538" s="22"/>
      <c r="C538" s="64"/>
    </row>
    <row r="539" ht="17.25" customHeight="1">
      <c r="A539" s="22"/>
      <c r="C539" s="64"/>
    </row>
    <row r="540" ht="17.25" customHeight="1">
      <c r="A540" s="22"/>
      <c r="C540" s="64"/>
    </row>
    <row r="541" ht="17.25" customHeight="1">
      <c r="A541" s="22"/>
      <c r="C541" s="64"/>
    </row>
    <row r="542" ht="17.25" customHeight="1">
      <c r="A542" s="22"/>
      <c r="C542" s="64"/>
    </row>
    <row r="543" ht="17.25" customHeight="1">
      <c r="A543" s="22"/>
      <c r="C543" s="64"/>
    </row>
    <row r="544" ht="17.25" customHeight="1">
      <c r="A544" s="22"/>
      <c r="C544" s="64"/>
    </row>
    <row r="545" ht="17.25" customHeight="1">
      <c r="A545" s="22"/>
      <c r="C545" s="64"/>
    </row>
    <row r="546" ht="17.25" customHeight="1">
      <c r="A546" s="22"/>
      <c r="C546" s="64"/>
    </row>
    <row r="547" ht="17.25" customHeight="1">
      <c r="A547" s="22"/>
      <c r="C547" s="64"/>
    </row>
    <row r="548" ht="17.25" customHeight="1">
      <c r="A548" s="22"/>
      <c r="C548" s="64"/>
    </row>
    <row r="549" ht="17.25" customHeight="1">
      <c r="A549" s="22"/>
      <c r="C549" s="64"/>
    </row>
    <row r="550" ht="17.25" customHeight="1">
      <c r="A550" s="22"/>
      <c r="C550" s="64"/>
    </row>
    <row r="551" ht="17.25" customHeight="1">
      <c r="A551" s="22"/>
      <c r="C551" s="64"/>
    </row>
    <row r="552" ht="17.25" customHeight="1">
      <c r="A552" s="22"/>
      <c r="C552" s="64"/>
    </row>
    <row r="553" ht="17.25" customHeight="1">
      <c r="A553" s="22"/>
      <c r="C553" s="64"/>
    </row>
    <row r="554" ht="17.25" customHeight="1">
      <c r="A554" s="22"/>
      <c r="C554" s="64"/>
    </row>
    <row r="555" ht="17.25" customHeight="1">
      <c r="A555" s="22"/>
      <c r="C555" s="64"/>
    </row>
    <row r="556" ht="17.25" customHeight="1">
      <c r="A556" s="22"/>
      <c r="C556" s="64"/>
    </row>
    <row r="557" ht="17.25" customHeight="1">
      <c r="A557" s="22"/>
      <c r="C557" s="64"/>
    </row>
    <row r="558" ht="17.25" customHeight="1">
      <c r="A558" s="22"/>
      <c r="C558" s="64"/>
    </row>
    <row r="559" ht="17.25" customHeight="1">
      <c r="A559" s="22"/>
      <c r="C559" s="64"/>
    </row>
    <row r="560" ht="17.25" customHeight="1">
      <c r="A560" s="22"/>
      <c r="C560" s="64"/>
    </row>
    <row r="561" ht="17.25" customHeight="1">
      <c r="A561" s="22"/>
      <c r="C561" s="64"/>
    </row>
    <row r="562" ht="17.25" customHeight="1">
      <c r="A562" s="22"/>
      <c r="C562" s="64"/>
    </row>
    <row r="563" ht="17.25" customHeight="1">
      <c r="A563" s="22"/>
      <c r="C563" s="64"/>
    </row>
    <row r="564" ht="17.25" customHeight="1">
      <c r="A564" s="22"/>
      <c r="C564" s="64"/>
    </row>
    <row r="565" ht="17.25" customHeight="1">
      <c r="A565" s="22"/>
      <c r="C565" s="64"/>
    </row>
    <row r="566" ht="17.25" customHeight="1">
      <c r="A566" s="22"/>
      <c r="C566" s="64"/>
    </row>
    <row r="567" ht="17.25" customHeight="1">
      <c r="A567" s="22"/>
      <c r="C567" s="64"/>
    </row>
    <row r="568" ht="17.25" customHeight="1">
      <c r="A568" s="22"/>
      <c r="C568" s="64"/>
    </row>
    <row r="569" ht="17.25" customHeight="1">
      <c r="A569" s="22"/>
      <c r="C569" s="64"/>
    </row>
    <row r="570" ht="17.25" customHeight="1">
      <c r="A570" s="22"/>
      <c r="C570" s="64"/>
    </row>
    <row r="571" ht="17.25" customHeight="1">
      <c r="A571" s="22"/>
      <c r="C571" s="64"/>
    </row>
    <row r="572" ht="17.25" customHeight="1">
      <c r="A572" s="22"/>
      <c r="C572" s="64"/>
    </row>
    <row r="573" ht="17.25" customHeight="1">
      <c r="A573" s="22"/>
      <c r="C573" s="64"/>
    </row>
    <row r="574" ht="17.25" customHeight="1">
      <c r="A574" s="22"/>
      <c r="C574" s="64"/>
    </row>
    <row r="575" ht="17.25" customHeight="1">
      <c r="A575" s="22"/>
      <c r="C575" s="64"/>
    </row>
    <row r="576" ht="17.25" customHeight="1">
      <c r="A576" s="22"/>
      <c r="C576" s="64"/>
    </row>
    <row r="577" ht="17.25" customHeight="1">
      <c r="A577" s="22"/>
      <c r="C577" s="64"/>
    </row>
    <row r="578" ht="17.25" customHeight="1">
      <c r="A578" s="22"/>
      <c r="C578" s="64"/>
    </row>
    <row r="579" ht="17.25" customHeight="1">
      <c r="A579" s="22"/>
      <c r="C579" s="64"/>
    </row>
    <row r="580" ht="17.25" customHeight="1">
      <c r="A580" s="22"/>
      <c r="C580" s="64"/>
    </row>
    <row r="581" ht="17.25" customHeight="1">
      <c r="A581" s="22"/>
      <c r="C581" s="64"/>
    </row>
    <row r="582" ht="17.25" customHeight="1">
      <c r="A582" s="22"/>
      <c r="C582" s="64"/>
    </row>
    <row r="583" ht="17.25" customHeight="1">
      <c r="A583" s="22"/>
      <c r="C583" s="64"/>
    </row>
    <row r="584" ht="17.25" customHeight="1">
      <c r="A584" s="22"/>
      <c r="C584" s="64"/>
    </row>
    <row r="585" ht="17.25" customHeight="1">
      <c r="A585" s="22"/>
      <c r="C585" s="64"/>
    </row>
    <row r="586" ht="17.25" customHeight="1">
      <c r="A586" s="22"/>
      <c r="C586" s="64"/>
    </row>
    <row r="587" ht="17.25" customHeight="1">
      <c r="A587" s="22"/>
      <c r="C587" s="64"/>
    </row>
    <row r="588" ht="17.25" customHeight="1">
      <c r="A588" s="22"/>
      <c r="C588" s="64"/>
    </row>
    <row r="589" ht="17.25" customHeight="1">
      <c r="A589" s="22"/>
      <c r="C589" s="64"/>
    </row>
    <row r="590" ht="17.25" customHeight="1">
      <c r="A590" s="22"/>
      <c r="C590" s="64"/>
    </row>
    <row r="591" ht="17.25" customHeight="1">
      <c r="A591" s="22"/>
      <c r="C591" s="64"/>
    </row>
    <row r="592" ht="17.25" customHeight="1">
      <c r="A592" s="22"/>
      <c r="C592" s="64"/>
    </row>
    <row r="593" ht="17.25" customHeight="1">
      <c r="A593" s="22"/>
      <c r="C593" s="64"/>
    </row>
    <row r="594" ht="17.25" customHeight="1">
      <c r="A594" s="22"/>
      <c r="C594" s="64"/>
    </row>
    <row r="595" ht="17.25" customHeight="1">
      <c r="A595" s="22"/>
      <c r="C595" s="64"/>
    </row>
    <row r="596" ht="17.25" customHeight="1">
      <c r="A596" s="22"/>
      <c r="C596" s="64"/>
    </row>
    <row r="597" ht="17.25" customHeight="1">
      <c r="A597" s="22"/>
      <c r="C597" s="64"/>
    </row>
    <row r="598" ht="17.25" customHeight="1">
      <c r="A598" s="22"/>
      <c r="C598" s="64"/>
    </row>
    <row r="599" ht="17.25" customHeight="1">
      <c r="A599" s="22"/>
      <c r="C599" s="64"/>
    </row>
    <row r="600" ht="17.25" customHeight="1">
      <c r="A600" s="22"/>
      <c r="C600" s="64"/>
    </row>
    <row r="601" ht="17.25" customHeight="1">
      <c r="A601" s="22"/>
      <c r="C601" s="64"/>
    </row>
    <row r="602" ht="17.25" customHeight="1">
      <c r="A602" s="22"/>
      <c r="C602" s="64"/>
    </row>
    <row r="603" ht="17.25" customHeight="1">
      <c r="A603" s="22"/>
      <c r="C603" s="64"/>
    </row>
    <row r="604" ht="17.25" customHeight="1">
      <c r="A604" s="22"/>
      <c r="C604" s="64"/>
    </row>
    <row r="605" ht="17.25" customHeight="1">
      <c r="A605" s="22"/>
      <c r="C605" s="64"/>
    </row>
    <row r="606" ht="17.25" customHeight="1">
      <c r="A606" s="22"/>
      <c r="C606" s="64"/>
    </row>
    <row r="607" ht="17.25" customHeight="1">
      <c r="A607" s="22"/>
      <c r="C607" s="64"/>
    </row>
    <row r="608" ht="17.25" customHeight="1">
      <c r="A608" s="22"/>
      <c r="C608" s="64"/>
    </row>
    <row r="609" ht="17.25" customHeight="1">
      <c r="A609" s="22"/>
      <c r="C609" s="64"/>
    </row>
    <row r="610" ht="17.25" customHeight="1">
      <c r="A610" s="22"/>
      <c r="C610" s="64"/>
    </row>
    <row r="611" ht="17.25" customHeight="1">
      <c r="A611" s="22"/>
      <c r="C611" s="64"/>
    </row>
    <row r="612" ht="17.25" customHeight="1">
      <c r="A612" s="22"/>
      <c r="C612" s="64"/>
    </row>
    <row r="613" ht="17.25" customHeight="1">
      <c r="A613" s="22"/>
      <c r="C613" s="64"/>
    </row>
    <row r="614" ht="17.25" customHeight="1">
      <c r="A614" s="22"/>
      <c r="C614" s="64"/>
    </row>
    <row r="615" ht="17.25" customHeight="1">
      <c r="A615" s="22"/>
      <c r="C615" s="64"/>
    </row>
    <row r="616" ht="17.25" customHeight="1">
      <c r="A616" s="22"/>
      <c r="C616" s="64"/>
    </row>
    <row r="617" ht="17.25" customHeight="1">
      <c r="A617" s="22"/>
      <c r="C617" s="64"/>
    </row>
    <row r="618" ht="17.25" customHeight="1">
      <c r="A618" s="22"/>
      <c r="C618" s="64"/>
    </row>
    <row r="619" ht="17.25" customHeight="1">
      <c r="A619" s="22"/>
      <c r="C619" s="64"/>
    </row>
    <row r="620" ht="17.25" customHeight="1">
      <c r="A620" s="22"/>
      <c r="C620" s="64"/>
    </row>
    <row r="621" ht="17.25" customHeight="1">
      <c r="A621" s="22"/>
      <c r="C621" s="64"/>
    </row>
    <row r="622" ht="17.25" customHeight="1">
      <c r="A622" s="22"/>
      <c r="C622" s="64"/>
    </row>
    <row r="623" ht="17.25" customHeight="1">
      <c r="A623" s="22"/>
      <c r="C623" s="64"/>
    </row>
    <row r="624" ht="17.25" customHeight="1">
      <c r="A624" s="22"/>
      <c r="C624" s="64"/>
    </row>
    <row r="625" ht="17.25" customHeight="1">
      <c r="A625" s="22"/>
      <c r="C625" s="64"/>
    </row>
    <row r="626" ht="17.25" customHeight="1">
      <c r="A626" s="22"/>
      <c r="C626" s="64"/>
    </row>
    <row r="627" ht="17.25" customHeight="1">
      <c r="A627" s="22"/>
      <c r="C627" s="64"/>
    </row>
    <row r="628" ht="17.25" customHeight="1">
      <c r="A628" s="22"/>
      <c r="C628" s="64"/>
    </row>
    <row r="629" ht="17.25" customHeight="1">
      <c r="A629" s="22"/>
      <c r="C629" s="64"/>
    </row>
    <row r="630" ht="17.25" customHeight="1">
      <c r="A630" s="22"/>
      <c r="C630" s="64"/>
    </row>
    <row r="631" ht="17.25" customHeight="1">
      <c r="A631" s="22"/>
      <c r="C631" s="64"/>
    </row>
    <row r="632" ht="17.25" customHeight="1">
      <c r="A632" s="22"/>
      <c r="C632" s="64"/>
    </row>
    <row r="633" ht="17.25" customHeight="1">
      <c r="A633" s="22"/>
      <c r="C633" s="64"/>
    </row>
    <row r="634" ht="17.25" customHeight="1">
      <c r="A634" s="22"/>
      <c r="C634" s="64"/>
    </row>
    <row r="635" ht="17.25" customHeight="1">
      <c r="A635" s="22"/>
      <c r="C635" s="64"/>
    </row>
    <row r="636" ht="17.25" customHeight="1">
      <c r="A636" s="22"/>
      <c r="C636" s="64"/>
    </row>
    <row r="637" ht="17.25" customHeight="1">
      <c r="A637" s="22"/>
      <c r="C637" s="64"/>
    </row>
    <row r="638" ht="17.25" customHeight="1">
      <c r="A638" s="22"/>
      <c r="C638" s="64"/>
    </row>
    <row r="639" ht="17.25" customHeight="1">
      <c r="A639" s="22"/>
      <c r="C639" s="64"/>
    </row>
    <row r="640" ht="17.25" customHeight="1">
      <c r="A640" s="22"/>
      <c r="C640" s="64"/>
    </row>
    <row r="641" ht="17.25" customHeight="1">
      <c r="A641" s="22"/>
      <c r="C641" s="64"/>
    </row>
    <row r="642" ht="17.25" customHeight="1">
      <c r="A642" s="22"/>
      <c r="C642" s="64"/>
    </row>
    <row r="643" ht="17.25" customHeight="1">
      <c r="A643" s="22"/>
      <c r="C643" s="64"/>
    </row>
    <row r="644" ht="17.25" customHeight="1">
      <c r="A644" s="22"/>
      <c r="C644" s="64"/>
    </row>
    <row r="645" ht="17.25" customHeight="1">
      <c r="A645" s="22"/>
      <c r="C645" s="64"/>
    </row>
    <row r="646" ht="17.25" customHeight="1">
      <c r="A646" s="22"/>
      <c r="C646" s="64"/>
    </row>
    <row r="647" ht="17.25" customHeight="1">
      <c r="A647" s="22"/>
      <c r="C647" s="64"/>
    </row>
    <row r="648" ht="17.25" customHeight="1">
      <c r="A648" s="22"/>
      <c r="C648" s="64"/>
    </row>
    <row r="649" ht="17.25" customHeight="1">
      <c r="A649" s="22"/>
      <c r="C649" s="64"/>
    </row>
    <row r="650" ht="17.25" customHeight="1">
      <c r="A650" s="22"/>
      <c r="C650" s="64"/>
    </row>
    <row r="651" ht="17.25" customHeight="1">
      <c r="A651" s="22"/>
      <c r="C651" s="64"/>
    </row>
    <row r="652" ht="17.25" customHeight="1">
      <c r="A652" s="22"/>
      <c r="C652" s="64"/>
    </row>
    <row r="653" ht="17.25" customHeight="1">
      <c r="A653" s="22"/>
      <c r="C653" s="64"/>
    </row>
    <row r="654" ht="17.25" customHeight="1">
      <c r="A654" s="22"/>
      <c r="C654" s="64"/>
    </row>
    <row r="655" ht="17.25" customHeight="1">
      <c r="A655" s="22"/>
      <c r="C655" s="64"/>
    </row>
    <row r="656" ht="17.25" customHeight="1">
      <c r="A656" s="22"/>
      <c r="C656" s="64"/>
    </row>
    <row r="657" ht="17.25" customHeight="1">
      <c r="A657" s="22"/>
      <c r="C657" s="64"/>
    </row>
    <row r="658" ht="17.25" customHeight="1">
      <c r="A658" s="22"/>
      <c r="C658" s="64"/>
    </row>
    <row r="659" ht="17.25" customHeight="1">
      <c r="A659" s="22"/>
      <c r="C659" s="64"/>
    </row>
    <row r="660" ht="17.25" customHeight="1">
      <c r="A660" s="22"/>
      <c r="C660" s="64"/>
    </row>
    <row r="661" ht="17.25" customHeight="1">
      <c r="A661" s="22"/>
      <c r="C661" s="64"/>
    </row>
    <row r="662" ht="17.25" customHeight="1">
      <c r="A662" s="22"/>
      <c r="C662" s="64"/>
    </row>
    <row r="663" ht="17.25" customHeight="1">
      <c r="A663" s="22"/>
      <c r="C663" s="64"/>
    </row>
    <row r="664" ht="17.25" customHeight="1">
      <c r="A664" s="22"/>
      <c r="C664" s="64"/>
    </row>
    <row r="665" ht="17.25" customHeight="1">
      <c r="A665" s="22"/>
      <c r="C665" s="64"/>
    </row>
    <row r="666" ht="17.25" customHeight="1">
      <c r="A666" s="22"/>
      <c r="C666" s="64"/>
    </row>
    <row r="667" ht="17.25" customHeight="1">
      <c r="A667" s="22"/>
      <c r="C667" s="64"/>
    </row>
    <row r="668" ht="17.25" customHeight="1">
      <c r="A668" s="22"/>
      <c r="C668" s="64"/>
    </row>
    <row r="669" ht="17.25" customHeight="1">
      <c r="A669" s="22"/>
      <c r="C669" s="64"/>
    </row>
    <row r="670" ht="17.25" customHeight="1">
      <c r="A670" s="22"/>
      <c r="C670" s="64"/>
    </row>
    <row r="671" ht="17.25" customHeight="1">
      <c r="A671" s="22"/>
      <c r="C671" s="64"/>
    </row>
    <row r="672" ht="17.25" customHeight="1">
      <c r="A672" s="22"/>
      <c r="C672" s="64"/>
    </row>
    <row r="673" ht="17.25" customHeight="1">
      <c r="A673" s="22"/>
      <c r="C673" s="64"/>
    </row>
    <row r="674" ht="17.25" customHeight="1">
      <c r="A674" s="22"/>
      <c r="C674" s="64"/>
    </row>
    <row r="675" ht="17.25" customHeight="1">
      <c r="A675" s="22"/>
      <c r="C675" s="64"/>
    </row>
    <row r="676" ht="17.25" customHeight="1">
      <c r="A676" s="22"/>
      <c r="C676" s="64"/>
    </row>
    <row r="677" ht="17.25" customHeight="1">
      <c r="A677" s="22"/>
      <c r="C677" s="64"/>
    </row>
    <row r="678" ht="17.25" customHeight="1">
      <c r="A678" s="22"/>
      <c r="C678" s="64"/>
    </row>
    <row r="679" ht="17.25" customHeight="1">
      <c r="A679" s="22"/>
      <c r="C679" s="64"/>
    </row>
    <row r="680" ht="17.25" customHeight="1">
      <c r="A680" s="22"/>
      <c r="C680" s="64"/>
    </row>
    <row r="681" ht="17.25" customHeight="1">
      <c r="A681" s="22"/>
      <c r="C681" s="64"/>
    </row>
    <row r="682" ht="17.25" customHeight="1">
      <c r="A682" s="22"/>
      <c r="C682" s="64"/>
    </row>
    <row r="683" ht="17.25" customHeight="1">
      <c r="A683" s="22"/>
      <c r="C683" s="64"/>
    </row>
    <row r="684" ht="17.25" customHeight="1">
      <c r="A684" s="22"/>
      <c r="C684" s="64"/>
    </row>
    <row r="685" ht="17.25" customHeight="1">
      <c r="A685" s="22"/>
      <c r="C685" s="64"/>
    </row>
    <row r="686" ht="17.25" customHeight="1">
      <c r="A686" s="22"/>
      <c r="C686" s="64"/>
    </row>
    <row r="687" ht="17.25" customHeight="1">
      <c r="A687" s="22"/>
      <c r="C687" s="64"/>
    </row>
    <row r="688" ht="17.25" customHeight="1">
      <c r="A688" s="22"/>
      <c r="C688" s="64"/>
    </row>
    <row r="689" ht="17.25" customHeight="1">
      <c r="A689" s="22"/>
      <c r="C689" s="64"/>
    </row>
    <row r="690" ht="17.25" customHeight="1">
      <c r="A690" s="22"/>
      <c r="C690" s="64"/>
    </row>
    <row r="691" ht="17.25" customHeight="1">
      <c r="A691" s="22"/>
      <c r="C691" s="64"/>
    </row>
    <row r="692" ht="17.25" customHeight="1">
      <c r="A692" s="22"/>
      <c r="C692" s="64"/>
    </row>
    <row r="693" ht="17.25" customHeight="1">
      <c r="A693" s="22"/>
      <c r="C693" s="64"/>
    </row>
    <row r="694" ht="17.25" customHeight="1">
      <c r="A694" s="22"/>
      <c r="C694" s="64"/>
    </row>
    <row r="695" ht="17.25" customHeight="1">
      <c r="A695" s="22"/>
      <c r="C695" s="64"/>
    </row>
    <row r="696" ht="17.25" customHeight="1">
      <c r="A696" s="22"/>
      <c r="C696" s="64"/>
    </row>
    <row r="697" ht="17.25" customHeight="1">
      <c r="A697" s="22"/>
      <c r="C697" s="64"/>
    </row>
    <row r="698" ht="17.25" customHeight="1">
      <c r="A698" s="22"/>
      <c r="C698" s="64"/>
    </row>
    <row r="699" ht="17.25" customHeight="1">
      <c r="A699" s="22"/>
      <c r="C699" s="64"/>
    </row>
    <row r="700" ht="17.25" customHeight="1">
      <c r="A700" s="22"/>
      <c r="C700" s="64"/>
    </row>
    <row r="701" ht="17.25" customHeight="1">
      <c r="A701" s="22"/>
      <c r="C701" s="64"/>
    </row>
    <row r="702" ht="17.25" customHeight="1">
      <c r="A702" s="22"/>
      <c r="C702" s="64"/>
    </row>
    <row r="703" ht="17.25" customHeight="1">
      <c r="A703" s="22"/>
      <c r="C703" s="64"/>
    </row>
    <row r="704" ht="17.25" customHeight="1">
      <c r="A704" s="22"/>
      <c r="C704" s="64"/>
    </row>
    <row r="705" ht="17.25" customHeight="1">
      <c r="A705" s="22"/>
      <c r="C705" s="64"/>
    </row>
    <row r="706" ht="17.25" customHeight="1">
      <c r="A706" s="22"/>
      <c r="C706" s="64"/>
    </row>
    <row r="707" ht="17.25" customHeight="1">
      <c r="A707" s="22"/>
      <c r="C707" s="64"/>
    </row>
    <row r="708" ht="17.25" customHeight="1">
      <c r="A708" s="22"/>
      <c r="C708" s="64"/>
    </row>
    <row r="709" ht="17.25" customHeight="1">
      <c r="A709" s="22"/>
      <c r="C709" s="64"/>
    </row>
    <row r="710" ht="17.25" customHeight="1">
      <c r="A710" s="22"/>
      <c r="C710" s="64"/>
    </row>
    <row r="711" ht="17.25" customHeight="1">
      <c r="A711" s="22"/>
      <c r="C711" s="64"/>
    </row>
    <row r="712" ht="17.25" customHeight="1">
      <c r="A712" s="22"/>
      <c r="C712" s="64"/>
    </row>
    <row r="713" ht="17.25" customHeight="1">
      <c r="A713" s="22"/>
      <c r="C713" s="64"/>
    </row>
    <row r="714" ht="17.25" customHeight="1">
      <c r="A714" s="22"/>
      <c r="C714" s="64"/>
    </row>
    <row r="715" ht="17.25" customHeight="1">
      <c r="A715" s="22"/>
      <c r="C715" s="64"/>
    </row>
    <row r="716" ht="17.25" customHeight="1">
      <c r="A716" s="22"/>
      <c r="C716" s="64"/>
    </row>
    <row r="717" ht="17.25" customHeight="1">
      <c r="A717" s="22"/>
      <c r="C717" s="64"/>
    </row>
    <row r="718" ht="17.25" customHeight="1">
      <c r="A718" s="22"/>
      <c r="C718" s="64"/>
    </row>
    <row r="719" ht="17.25" customHeight="1">
      <c r="A719" s="22"/>
      <c r="C719" s="64"/>
    </row>
    <row r="720" ht="17.25" customHeight="1">
      <c r="A720" s="22"/>
      <c r="C720" s="64"/>
    </row>
    <row r="721" ht="17.25" customHeight="1">
      <c r="A721" s="22"/>
      <c r="C721" s="64"/>
    </row>
    <row r="722" ht="17.25" customHeight="1">
      <c r="A722" s="22"/>
      <c r="C722" s="64"/>
    </row>
    <row r="723" ht="17.25" customHeight="1">
      <c r="A723" s="22"/>
      <c r="C723" s="64"/>
    </row>
    <row r="724" ht="17.25" customHeight="1">
      <c r="A724" s="22"/>
      <c r="C724" s="64"/>
    </row>
    <row r="725" ht="17.25" customHeight="1">
      <c r="A725" s="22"/>
      <c r="C725" s="64"/>
    </row>
    <row r="726" ht="17.25" customHeight="1">
      <c r="A726" s="22"/>
      <c r="C726" s="64"/>
    </row>
    <row r="727" ht="17.25" customHeight="1">
      <c r="A727" s="22"/>
      <c r="C727" s="64"/>
    </row>
    <row r="728" ht="17.25" customHeight="1">
      <c r="A728" s="22"/>
      <c r="C728" s="64"/>
    </row>
    <row r="729" ht="17.25" customHeight="1">
      <c r="A729" s="22"/>
      <c r="C729" s="64"/>
    </row>
    <row r="730" ht="17.25" customHeight="1">
      <c r="A730" s="22"/>
      <c r="C730" s="64"/>
    </row>
    <row r="731" ht="17.25" customHeight="1">
      <c r="A731" s="22"/>
      <c r="C731" s="64"/>
    </row>
    <row r="732" ht="17.25" customHeight="1">
      <c r="A732" s="22"/>
      <c r="C732" s="64"/>
    </row>
    <row r="733" ht="17.25" customHeight="1">
      <c r="A733" s="22"/>
      <c r="C733" s="64"/>
    </row>
    <row r="734" ht="17.25" customHeight="1">
      <c r="A734" s="22"/>
      <c r="C734" s="64"/>
    </row>
    <row r="735" ht="17.25" customHeight="1">
      <c r="A735" s="22"/>
      <c r="C735" s="64"/>
    </row>
    <row r="736" ht="17.25" customHeight="1">
      <c r="A736" s="22"/>
      <c r="C736" s="64"/>
    </row>
    <row r="737" ht="17.25" customHeight="1">
      <c r="A737" s="22"/>
      <c r="C737" s="64"/>
    </row>
    <row r="738" ht="17.25" customHeight="1">
      <c r="A738" s="22"/>
      <c r="C738" s="64"/>
    </row>
    <row r="739" ht="17.25" customHeight="1">
      <c r="A739" s="22"/>
      <c r="C739" s="64"/>
    </row>
    <row r="740" ht="17.25" customHeight="1">
      <c r="A740" s="22"/>
      <c r="C740" s="64"/>
    </row>
    <row r="741" ht="17.25" customHeight="1">
      <c r="A741" s="22"/>
      <c r="C741" s="64"/>
    </row>
    <row r="742" ht="17.25" customHeight="1">
      <c r="A742" s="22"/>
      <c r="C742" s="64"/>
    </row>
    <row r="743" ht="17.25" customHeight="1">
      <c r="A743" s="22"/>
      <c r="C743" s="64"/>
    </row>
    <row r="744" ht="17.25" customHeight="1">
      <c r="A744" s="22"/>
      <c r="C744" s="64"/>
    </row>
    <row r="745" ht="17.25" customHeight="1">
      <c r="A745" s="22"/>
      <c r="C745" s="64"/>
    </row>
    <row r="746" ht="17.25" customHeight="1">
      <c r="A746" s="22"/>
      <c r="C746" s="64"/>
    </row>
    <row r="747" ht="17.25" customHeight="1">
      <c r="A747" s="22"/>
      <c r="C747" s="64"/>
    </row>
    <row r="748" ht="17.25" customHeight="1">
      <c r="A748" s="22"/>
      <c r="C748" s="64"/>
    </row>
    <row r="749" ht="17.25" customHeight="1">
      <c r="A749" s="22"/>
      <c r="C749" s="64"/>
    </row>
    <row r="750" ht="17.25" customHeight="1">
      <c r="A750" s="22"/>
      <c r="C750" s="64"/>
    </row>
    <row r="751" ht="17.25" customHeight="1">
      <c r="A751" s="22"/>
      <c r="C751" s="64"/>
    </row>
    <row r="752" ht="17.25" customHeight="1">
      <c r="A752" s="22"/>
      <c r="C752" s="64"/>
    </row>
    <row r="753" ht="17.25" customHeight="1">
      <c r="A753" s="22"/>
      <c r="C753" s="64"/>
    </row>
    <row r="754" ht="17.25" customHeight="1">
      <c r="A754" s="22"/>
      <c r="C754" s="64"/>
    </row>
    <row r="755" ht="17.25" customHeight="1">
      <c r="A755" s="22"/>
      <c r="C755" s="64"/>
    </row>
    <row r="756" ht="17.25" customHeight="1">
      <c r="A756" s="22"/>
      <c r="C756" s="64"/>
    </row>
    <row r="757" ht="17.25" customHeight="1">
      <c r="A757" s="22"/>
      <c r="C757" s="64"/>
    </row>
    <row r="758" ht="17.25" customHeight="1">
      <c r="A758" s="22"/>
      <c r="C758" s="64"/>
    </row>
    <row r="759" ht="17.25" customHeight="1">
      <c r="A759" s="22"/>
      <c r="C759" s="64"/>
    </row>
    <row r="760" ht="17.25" customHeight="1">
      <c r="A760" s="22"/>
      <c r="C760" s="64"/>
    </row>
    <row r="761" ht="17.25" customHeight="1">
      <c r="A761" s="22"/>
      <c r="C761" s="64"/>
    </row>
    <row r="762" ht="17.25" customHeight="1">
      <c r="A762" s="22"/>
      <c r="C762" s="64"/>
    </row>
    <row r="763" ht="17.25" customHeight="1">
      <c r="A763" s="22"/>
      <c r="C763" s="64"/>
    </row>
    <row r="764" ht="17.25" customHeight="1">
      <c r="A764" s="22"/>
      <c r="C764" s="64"/>
    </row>
    <row r="765" ht="17.25" customHeight="1">
      <c r="A765" s="22"/>
      <c r="C765" s="64"/>
    </row>
    <row r="766" ht="17.25" customHeight="1">
      <c r="A766" s="22"/>
      <c r="C766" s="64"/>
    </row>
    <row r="767" ht="17.25" customHeight="1">
      <c r="A767" s="22"/>
      <c r="C767" s="64"/>
    </row>
    <row r="768" ht="17.25" customHeight="1">
      <c r="A768" s="22"/>
      <c r="C768" s="64"/>
    </row>
    <row r="769" ht="17.25" customHeight="1">
      <c r="A769" s="22"/>
      <c r="C769" s="64"/>
    </row>
    <row r="770" ht="17.25" customHeight="1">
      <c r="A770" s="22"/>
      <c r="C770" s="64"/>
    </row>
    <row r="771" ht="17.25" customHeight="1">
      <c r="A771" s="22"/>
      <c r="C771" s="64"/>
    </row>
    <row r="772" ht="17.25" customHeight="1">
      <c r="A772" s="22"/>
      <c r="C772" s="64"/>
    </row>
    <row r="773" ht="17.25" customHeight="1">
      <c r="A773" s="22"/>
      <c r="C773" s="64"/>
    </row>
    <row r="774" ht="17.25" customHeight="1">
      <c r="A774" s="22"/>
      <c r="C774" s="64"/>
    </row>
    <row r="775" ht="17.25" customHeight="1">
      <c r="A775" s="22"/>
      <c r="C775" s="64"/>
    </row>
    <row r="776" ht="17.25" customHeight="1">
      <c r="A776" s="22"/>
      <c r="C776" s="64"/>
    </row>
    <row r="777" ht="17.25" customHeight="1">
      <c r="A777" s="22"/>
      <c r="C777" s="64"/>
    </row>
    <row r="778" ht="17.25" customHeight="1">
      <c r="A778" s="22"/>
      <c r="C778" s="64"/>
    </row>
    <row r="779" ht="17.25" customHeight="1">
      <c r="A779" s="22"/>
      <c r="C779" s="64"/>
    </row>
    <row r="780" ht="17.25" customHeight="1">
      <c r="A780" s="22"/>
      <c r="C780" s="64"/>
    </row>
    <row r="781" ht="17.25" customHeight="1">
      <c r="A781" s="22"/>
      <c r="C781" s="64"/>
    </row>
    <row r="782" ht="17.25" customHeight="1">
      <c r="A782" s="22"/>
      <c r="C782" s="64"/>
    </row>
    <row r="783" ht="17.25" customHeight="1">
      <c r="A783" s="22"/>
      <c r="C783" s="64"/>
    </row>
    <row r="784" ht="17.25" customHeight="1">
      <c r="A784" s="22"/>
      <c r="C784" s="64"/>
    </row>
    <row r="785" ht="17.25" customHeight="1">
      <c r="A785" s="22"/>
      <c r="C785" s="64"/>
    </row>
    <row r="786" ht="17.25" customHeight="1">
      <c r="A786" s="22"/>
      <c r="C786" s="64"/>
    </row>
    <row r="787" ht="17.25" customHeight="1">
      <c r="A787" s="22"/>
      <c r="C787" s="64"/>
    </row>
    <row r="788" ht="17.25" customHeight="1">
      <c r="A788" s="22"/>
      <c r="C788" s="64"/>
    </row>
    <row r="789" ht="17.25" customHeight="1">
      <c r="A789" s="22"/>
      <c r="C789" s="64"/>
    </row>
    <row r="790" ht="17.25" customHeight="1">
      <c r="A790" s="22"/>
      <c r="C790" s="64"/>
    </row>
    <row r="791" ht="17.25" customHeight="1">
      <c r="A791" s="22"/>
      <c r="C791" s="64"/>
    </row>
    <row r="792" ht="17.25" customHeight="1">
      <c r="A792" s="22"/>
      <c r="C792" s="64"/>
    </row>
    <row r="793" ht="17.25" customHeight="1">
      <c r="A793" s="22"/>
      <c r="C793" s="64"/>
    </row>
    <row r="794" ht="17.25" customHeight="1">
      <c r="A794" s="22"/>
      <c r="C794" s="64"/>
    </row>
    <row r="795" ht="17.25" customHeight="1">
      <c r="A795" s="22"/>
      <c r="C795" s="64"/>
    </row>
    <row r="796" ht="17.25" customHeight="1">
      <c r="A796" s="22"/>
      <c r="C796" s="64"/>
    </row>
    <row r="797" ht="17.25" customHeight="1">
      <c r="A797" s="22"/>
      <c r="C797" s="64"/>
    </row>
    <row r="798" ht="17.25" customHeight="1">
      <c r="A798" s="22"/>
      <c r="C798" s="64"/>
    </row>
    <row r="799" ht="17.25" customHeight="1">
      <c r="A799" s="22"/>
      <c r="C799" s="64"/>
    </row>
    <row r="800" ht="17.25" customHeight="1">
      <c r="A800" s="22"/>
      <c r="C800" s="64"/>
    </row>
    <row r="801" ht="17.25" customHeight="1">
      <c r="A801" s="22"/>
      <c r="C801" s="64"/>
    </row>
    <row r="802" ht="17.25" customHeight="1">
      <c r="A802" s="22"/>
      <c r="C802" s="64"/>
    </row>
    <row r="803" ht="17.25" customHeight="1">
      <c r="A803" s="22"/>
      <c r="C803" s="64"/>
    </row>
    <row r="804" ht="17.25" customHeight="1">
      <c r="A804" s="22"/>
      <c r="C804" s="64"/>
    </row>
    <row r="805" ht="17.25" customHeight="1">
      <c r="A805" s="22"/>
      <c r="C805" s="64"/>
    </row>
    <row r="806" ht="17.25" customHeight="1">
      <c r="A806" s="22"/>
      <c r="C806" s="64"/>
    </row>
    <row r="807" ht="17.25" customHeight="1">
      <c r="A807" s="22"/>
      <c r="C807" s="64"/>
    </row>
    <row r="808" ht="17.25" customHeight="1">
      <c r="A808" s="22"/>
      <c r="C808" s="64"/>
    </row>
    <row r="809" ht="17.25" customHeight="1">
      <c r="A809" s="22"/>
      <c r="C809" s="64"/>
    </row>
    <row r="810" ht="17.25" customHeight="1">
      <c r="A810" s="22"/>
      <c r="C810" s="64"/>
    </row>
    <row r="811" ht="17.25" customHeight="1">
      <c r="A811" s="22"/>
      <c r="C811" s="64"/>
    </row>
    <row r="812" ht="17.25" customHeight="1">
      <c r="A812" s="22"/>
      <c r="C812" s="64"/>
    </row>
    <row r="813" ht="17.25" customHeight="1">
      <c r="A813" s="22"/>
      <c r="C813" s="64"/>
    </row>
    <row r="814" ht="17.25" customHeight="1">
      <c r="A814" s="22"/>
      <c r="C814" s="64"/>
    </row>
    <row r="815" ht="17.25" customHeight="1">
      <c r="A815" s="22"/>
      <c r="C815" s="64"/>
    </row>
    <row r="816" ht="17.25" customHeight="1">
      <c r="A816" s="22"/>
      <c r="C816" s="64"/>
    </row>
    <row r="817" ht="17.25" customHeight="1">
      <c r="A817" s="22"/>
      <c r="C817" s="64"/>
    </row>
    <row r="818" ht="17.25" customHeight="1">
      <c r="A818" s="22"/>
      <c r="C818" s="64"/>
    </row>
    <row r="819" ht="17.25" customHeight="1">
      <c r="A819" s="22"/>
      <c r="C819" s="64"/>
    </row>
    <row r="820" ht="17.25" customHeight="1">
      <c r="A820" s="22"/>
      <c r="C820" s="64"/>
    </row>
    <row r="821" ht="17.25" customHeight="1">
      <c r="A821" s="22"/>
      <c r="C821" s="64"/>
    </row>
    <row r="822" ht="17.25" customHeight="1">
      <c r="A822" s="22"/>
      <c r="C822" s="64"/>
    </row>
    <row r="823" ht="17.25" customHeight="1">
      <c r="A823" s="22"/>
      <c r="C823" s="64"/>
    </row>
    <row r="824" ht="17.25" customHeight="1">
      <c r="A824" s="22"/>
      <c r="C824" s="64"/>
    </row>
    <row r="825" ht="17.25" customHeight="1">
      <c r="A825" s="22"/>
      <c r="C825" s="64"/>
    </row>
    <row r="826" ht="17.25" customHeight="1">
      <c r="A826" s="22"/>
      <c r="C826" s="64"/>
    </row>
    <row r="827" ht="17.25" customHeight="1">
      <c r="A827" s="22"/>
      <c r="C827" s="64"/>
    </row>
    <row r="828" ht="17.25" customHeight="1">
      <c r="A828" s="22"/>
      <c r="C828" s="64"/>
    </row>
    <row r="829" ht="17.25" customHeight="1">
      <c r="A829" s="22"/>
      <c r="C829" s="64"/>
    </row>
    <row r="830" ht="17.25" customHeight="1">
      <c r="A830" s="22"/>
      <c r="C830" s="64"/>
    </row>
    <row r="831" ht="17.25" customHeight="1">
      <c r="A831" s="22"/>
      <c r="C831" s="64"/>
    </row>
    <row r="832" ht="17.25" customHeight="1">
      <c r="A832" s="22"/>
      <c r="C832" s="64"/>
    </row>
    <row r="833" ht="17.25" customHeight="1">
      <c r="A833" s="22"/>
      <c r="C833" s="64"/>
    </row>
    <row r="834" ht="17.25" customHeight="1">
      <c r="A834" s="22"/>
      <c r="C834" s="64"/>
    </row>
    <row r="835" ht="17.25" customHeight="1">
      <c r="A835" s="22"/>
      <c r="C835" s="64"/>
    </row>
    <row r="836" ht="17.25" customHeight="1">
      <c r="A836" s="22"/>
      <c r="C836" s="64"/>
    </row>
    <row r="837" ht="17.25" customHeight="1">
      <c r="A837" s="22"/>
      <c r="C837" s="64"/>
    </row>
    <row r="838" ht="17.25" customHeight="1">
      <c r="A838" s="22"/>
      <c r="C838" s="64"/>
    </row>
    <row r="839" ht="17.25" customHeight="1">
      <c r="A839" s="22"/>
      <c r="C839" s="64"/>
    </row>
    <row r="840" ht="17.25" customHeight="1">
      <c r="A840" s="22"/>
      <c r="C840" s="64"/>
    </row>
    <row r="841" ht="17.25" customHeight="1">
      <c r="A841" s="22"/>
      <c r="C841" s="64"/>
    </row>
    <row r="842" ht="17.25" customHeight="1">
      <c r="A842" s="22"/>
      <c r="C842" s="64"/>
    </row>
    <row r="843" ht="17.25" customHeight="1">
      <c r="A843" s="22"/>
      <c r="C843" s="64"/>
    </row>
    <row r="844" ht="17.25" customHeight="1">
      <c r="A844" s="22"/>
      <c r="C844" s="64"/>
    </row>
    <row r="845" ht="17.25" customHeight="1">
      <c r="A845" s="22"/>
      <c r="C845" s="64"/>
    </row>
    <row r="846" ht="17.25" customHeight="1">
      <c r="A846" s="22"/>
      <c r="C846" s="64"/>
    </row>
    <row r="847" ht="17.25" customHeight="1">
      <c r="A847" s="22"/>
      <c r="C847" s="64"/>
    </row>
    <row r="848" ht="17.25" customHeight="1">
      <c r="A848" s="22"/>
      <c r="C848" s="64"/>
    </row>
    <row r="849" ht="17.25" customHeight="1">
      <c r="A849" s="22"/>
      <c r="C849" s="64"/>
    </row>
    <row r="850" ht="17.25" customHeight="1">
      <c r="A850" s="22"/>
      <c r="C850" s="64"/>
    </row>
    <row r="851" ht="17.25" customHeight="1">
      <c r="A851" s="22"/>
      <c r="C851" s="64"/>
    </row>
    <row r="852" ht="17.25" customHeight="1">
      <c r="A852" s="22"/>
      <c r="C852" s="64"/>
    </row>
    <row r="853" ht="17.25" customHeight="1">
      <c r="A853" s="22"/>
      <c r="C853" s="64"/>
    </row>
    <row r="854" ht="17.25" customHeight="1">
      <c r="A854" s="22"/>
      <c r="C854" s="64"/>
    </row>
    <row r="855" ht="17.25" customHeight="1">
      <c r="A855" s="22"/>
      <c r="C855" s="64"/>
    </row>
    <row r="856" ht="17.25" customHeight="1">
      <c r="A856" s="22"/>
      <c r="C856" s="64"/>
    </row>
    <row r="857" ht="17.25" customHeight="1">
      <c r="A857" s="22"/>
      <c r="C857" s="64"/>
    </row>
    <row r="858" ht="17.25" customHeight="1">
      <c r="A858" s="22"/>
      <c r="C858" s="64"/>
    </row>
    <row r="859" ht="17.25" customHeight="1">
      <c r="A859" s="22"/>
      <c r="C859" s="64"/>
    </row>
    <row r="860" ht="17.25" customHeight="1">
      <c r="A860" s="22"/>
      <c r="C860" s="64"/>
    </row>
    <row r="861" ht="17.25" customHeight="1">
      <c r="A861" s="22"/>
      <c r="C861" s="64"/>
    </row>
    <row r="862" ht="17.25" customHeight="1">
      <c r="A862" s="22"/>
      <c r="C862" s="64"/>
    </row>
    <row r="863" ht="17.25" customHeight="1">
      <c r="A863" s="22"/>
      <c r="C863" s="64"/>
    </row>
    <row r="864" ht="17.25" customHeight="1">
      <c r="A864" s="22"/>
      <c r="C864" s="64"/>
    </row>
    <row r="865" ht="17.25" customHeight="1">
      <c r="A865" s="22"/>
      <c r="C865" s="64"/>
    </row>
    <row r="866" ht="17.25" customHeight="1">
      <c r="A866" s="22"/>
      <c r="C866" s="64"/>
    </row>
    <row r="867" ht="17.25" customHeight="1">
      <c r="A867" s="22"/>
      <c r="C867" s="64"/>
    </row>
    <row r="868" ht="17.25" customHeight="1">
      <c r="A868" s="22"/>
      <c r="C868" s="64"/>
    </row>
    <row r="869" ht="17.25" customHeight="1">
      <c r="A869" s="22"/>
      <c r="C869" s="64"/>
    </row>
    <row r="870" ht="17.25" customHeight="1">
      <c r="A870" s="22"/>
      <c r="C870" s="64"/>
    </row>
    <row r="871" ht="17.25" customHeight="1">
      <c r="A871" s="22"/>
      <c r="C871" s="64"/>
    </row>
    <row r="872" ht="17.25" customHeight="1">
      <c r="A872" s="22"/>
      <c r="C872" s="64"/>
    </row>
    <row r="873" ht="17.25" customHeight="1">
      <c r="A873" s="22"/>
      <c r="C873" s="64"/>
    </row>
    <row r="874" ht="17.25" customHeight="1">
      <c r="A874" s="22"/>
      <c r="C874" s="64"/>
    </row>
    <row r="875" ht="17.25" customHeight="1">
      <c r="A875" s="22"/>
      <c r="C875" s="64"/>
    </row>
    <row r="876" ht="17.25" customHeight="1">
      <c r="A876" s="22"/>
      <c r="C876" s="64"/>
    </row>
    <row r="877" ht="17.25" customHeight="1">
      <c r="A877" s="22"/>
      <c r="C877" s="64"/>
    </row>
    <row r="878" ht="17.25" customHeight="1">
      <c r="A878" s="22"/>
      <c r="C878" s="64"/>
    </row>
    <row r="879" ht="17.25" customHeight="1">
      <c r="A879" s="22"/>
      <c r="C879" s="64"/>
    </row>
    <row r="880" ht="17.25" customHeight="1">
      <c r="A880" s="22"/>
      <c r="C880" s="64"/>
    </row>
    <row r="881" ht="17.25" customHeight="1">
      <c r="A881" s="22"/>
      <c r="C881" s="64"/>
    </row>
    <row r="882" ht="17.25" customHeight="1">
      <c r="A882" s="22"/>
      <c r="C882" s="64"/>
    </row>
    <row r="883" ht="17.25" customHeight="1">
      <c r="A883" s="22"/>
      <c r="C883" s="64"/>
    </row>
    <row r="884" ht="17.25" customHeight="1">
      <c r="A884" s="22"/>
      <c r="C884" s="64"/>
    </row>
    <row r="885" ht="17.25" customHeight="1">
      <c r="A885" s="22"/>
      <c r="C885" s="64"/>
    </row>
    <row r="886" ht="17.25" customHeight="1">
      <c r="A886" s="22"/>
      <c r="C886" s="64"/>
    </row>
    <row r="887" ht="17.25" customHeight="1">
      <c r="A887" s="22"/>
      <c r="C887" s="64"/>
    </row>
    <row r="888" ht="17.25" customHeight="1">
      <c r="A888" s="22"/>
      <c r="C888" s="64"/>
    </row>
    <row r="889" ht="17.25" customHeight="1">
      <c r="A889" s="22"/>
      <c r="C889" s="64"/>
    </row>
    <row r="890" ht="17.25" customHeight="1">
      <c r="A890" s="22"/>
      <c r="C890" s="64"/>
    </row>
    <row r="891" ht="17.25" customHeight="1">
      <c r="A891" s="22"/>
      <c r="C891" s="64"/>
    </row>
    <row r="892" ht="17.25" customHeight="1">
      <c r="A892" s="22"/>
      <c r="C892" s="64"/>
    </row>
    <row r="893" ht="17.25" customHeight="1">
      <c r="A893" s="22"/>
      <c r="C893" s="64"/>
    </row>
    <row r="894" ht="17.25" customHeight="1">
      <c r="A894" s="22"/>
      <c r="C894" s="64"/>
    </row>
    <row r="895" ht="17.25" customHeight="1">
      <c r="A895" s="22"/>
      <c r="C895" s="64"/>
    </row>
    <row r="896" ht="17.25" customHeight="1">
      <c r="A896" s="22"/>
      <c r="C896" s="64"/>
    </row>
    <row r="897" ht="17.25" customHeight="1">
      <c r="A897" s="22"/>
      <c r="C897" s="64"/>
    </row>
    <row r="898" ht="17.25" customHeight="1">
      <c r="A898" s="22"/>
      <c r="C898" s="64"/>
    </row>
    <row r="899" ht="17.25" customHeight="1">
      <c r="A899" s="22"/>
      <c r="C899" s="64"/>
    </row>
    <row r="900" ht="17.25" customHeight="1">
      <c r="A900" s="22"/>
      <c r="C900" s="64"/>
    </row>
    <row r="901" ht="17.25" customHeight="1">
      <c r="A901" s="22"/>
      <c r="C901" s="64"/>
    </row>
    <row r="902" ht="17.25" customHeight="1">
      <c r="A902" s="22"/>
      <c r="C902" s="64"/>
    </row>
    <row r="903" ht="17.25" customHeight="1">
      <c r="A903" s="22"/>
      <c r="C903" s="64"/>
    </row>
    <row r="904" ht="17.25" customHeight="1">
      <c r="A904" s="22"/>
      <c r="C904" s="64"/>
    </row>
    <row r="905" ht="17.25" customHeight="1">
      <c r="A905" s="22"/>
      <c r="C905" s="64"/>
    </row>
    <row r="906" ht="17.25" customHeight="1">
      <c r="A906" s="22"/>
      <c r="C906" s="64"/>
    </row>
    <row r="907" ht="17.25" customHeight="1">
      <c r="A907" s="22"/>
      <c r="C907" s="64"/>
    </row>
    <row r="908" ht="17.25" customHeight="1">
      <c r="A908" s="22"/>
      <c r="C908" s="64"/>
    </row>
    <row r="909" ht="17.25" customHeight="1">
      <c r="A909" s="22"/>
      <c r="C909" s="64"/>
    </row>
    <row r="910" ht="17.25" customHeight="1">
      <c r="A910" s="22"/>
      <c r="C910" s="64"/>
    </row>
    <row r="911" ht="17.25" customHeight="1">
      <c r="A911" s="22"/>
      <c r="C911" s="64"/>
    </row>
    <row r="912" ht="17.25" customHeight="1">
      <c r="A912" s="22"/>
      <c r="C912" s="64"/>
    </row>
    <row r="913" ht="17.25" customHeight="1">
      <c r="A913" s="22"/>
      <c r="C913" s="64"/>
    </row>
    <row r="914" ht="17.25" customHeight="1">
      <c r="A914" s="22"/>
      <c r="C914" s="64"/>
    </row>
    <row r="915" ht="17.25" customHeight="1">
      <c r="A915" s="22"/>
      <c r="C915" s="64"/>
    </row>
    <row r="916" ht="17.25" customHeight="1">
      <c r="A916" s="22"/>
      <c r="C916" s="64"/>
    </row>
    <row r="917" ht="17.25" customHeight="1">
      <c r="A917" s="22"/>
      <c r="C917" s="64"/>
    </row>
    <row r="918" ht="17.25" customHeight="1">
      <c r="A918" s="22"/>
      <c r="C918" s="64"/>
    </row>
    <row r="919" ht="17.25" customHeight="1">
      <c r="A919" s="22"/>
      <c r="C919" s="64"/>
    </row>
    <row r="920" ht="17.25" customHeight="1">
      <c r="A920" s="22"/>
      <c r="C920" s="64"/>
    </row>
    <row r="921" ht="17.25" customHeight="1">
      <c r="A921" s="22"/>
      <c r="C921" s="64"/>
    </row>
    <row r="922" ht="17.25" customHeight="1">
      <c r="A922" s="22"/>
      <c r="C922" s="64"/>
    </row>
    <row r="923" ht="17.25" customHeight="1">
      <c r="A923" s="22"/>
      <c r="C923" s="64"/>
    </row>
    <row r="924" ht="17.25" customHeight="1">
      <c r="A924" s="22"/>
      <c r="C924" s="64"/>
    </row>
    <row r="925" ht="17.25" customHeight="1">
      <c r="A925" s="22"/>
      <c r="C925" s="64"/>
    </row>
    <row r="926" ht="17.25" customHeight="1">
      <c r="A926" s="22"/>
      <c r="C926" s="64"/>
    </row>
    <row r="927" ht="17.25" customHeight="1">
      <c r="A927" s="22"/>
      <c r="C927" s="64"/>
    </row>
    <row r="928" ht="17.25" customHeight="1">
      <c r="A928" s="22"/>
      <c r="C928" s="64"/>
    </row>
    <row r="929" ht="17.25" customHeight="1">
      <c r="A929" s="22"/>
      <c r="C929" s="64"/>
    </row>
    <row r="930" ht="17.25" customHeight="1">
      <c r="A930" s="22"/>
      <c r="C930" s="64"/>
    </row>
    <row r="931" ht="17.25" customHeight="1">
      <c r="A931" s="22"/>
      <c r="C931" s="64"/>
    </row>
    <row r="932" ht="17.25" customHeight="1">
      <c r="A932" s="22"/>
      <c r="C932" s="64"/>
    </row>
    <row r="933" ht="17.25" customHeight="1">
      <c r="A933" s="22"/>
      <c r="C933" s="64"/>
    </row>
    <row r="934" ht="17.25" customHeight="1">
      <c r="A934" s="22"/>
      <c r="C934" s="64"/>
    </row>
    <row r="935" ht="17.25" customHeight="1">
      <c r="A935" s="22"/>
      <c r="C935" s="64"/>
    </row>
    <row r="936" ht="17.25" customHeight="1">
      <c r="A936" s="22"/>
      <c r="C936" s="64"/>
    </row>
    <row r="937" ht="17.25" customHeight="1">
      <c r="A937" s="22"/>
      <c r="C937" s="64"/>
    </row>
    <row r="938" ht="17.25" customHeight="1">
      <c r="A938" s="22"/>
      <c r="C938" s="64"/>
    </row>
    <row r="939" ht="17.25" customHeight="1">
      <c r="A939" s="22"/>
      <c r="C939" s="64"/>
    </row>
    <row r="940" ht="17.25" customHeight="1">
      <c r="A940" s="22"/>
      <c r="C940" s="64"/>
    </row>
    <row r="941" ht="17.25" customHeight="1">
      <c r="A941" s="22"/>
      <c r="C941" s="64"/>
    </row>
    <row r="942" ht="17.25" customHeight="1">
      <c r="A942" s="22"/>
      <c r="C942" s="64"/>
    </row>
    <row r="943" ht="17.25" customHeight="1">
      <c r="A943" s="22"/>
      <c r="C943" s="64"/>
    </row>
    <row r="944" ht="17.25" customHeight="1">
      <c r="A944" s="22"/>
      <c r="C944" s="64"/>
    </row>
    <row r="945" ht="17.25" customHeight="1">
      <c r="A945" s="22"/>
      <c r="C945" s="64"/>
    </row>
    <row r="946" ht="17.25" customHeight="1">
      <c r="A946" s="22"/>
      <c r="C946" s="64"/>
    </row>
    <row r="947" ht="17.25" customHeight="1">
      <c r="A947" s="22"/>
      <c r="C947" s="64"/>
    </row>
    <row r="948" ht="17.25" customHeight="1">
      <c r="A948" s="22"/>
      <c r="C948" s="64"/>
    </row>
    <row r="949" ht="17.25" customHeight="1">
      <c r="A949" s="22"/>
      <c r="C949" s="64"/>
    </row>
    <row r="950" ht="17.25" customHeight="1">
      <c r="A950" s="22"/>
      <c r="C950" s="64"/>
    </row>
    <row r="951" ht="17.25" customHeight="1">
      <c r="A951" s="22"/>
      <c r="C951" s="64"/>
    </row>
    <row r="952" ht="17.25" customHeight="1">
      <c r="A952" s="22"/>
      <c r="C952" s="64"/>
    </row>
    <row r="953" ht="17.25" customHeight="1">
      <c r="A953" s="22"/>
      <c r="C953" s="64"/>
    </row>
    <row r="954" ht="17.25" customHeight="1">
      <c r="A954" s="22"/>
      <c r="C954" s="64"/>
    </row>
    <row r="955" ht="17.25" customHeight="1">
      <c r="A955" s="22"/>
      <c r="C955" s="64"/>
    </row>
    <row r="956" ht="17.25" customHeight="1">
      <c r="A956" s="22"/>
      <c r="C956" s="64"/>
    </row>
    <row r="957" ht="17.25" customHeight="1">
      <c r="A957" s="22"/>
      <c r="C957" s="64"/>
    </row>
    <row r="958" ht="17.25" customHeight="1">
      <c r="A958" s="22"/>
      <c r="C958" s="64"/>
    </row>
    <row r="959" ht="17.25" customHeight="1">
      <c r="A959" s="22"/>
      <c r="C959" s="64"/>
    </row>
    <row r="960" ht="17.25" customHeight="1">
      <c r="A960" s="22"/>
      <c r="C960" s="64"/>
    </row>
    <row r="961" ht="17.25" customHeight="1">
      <c r="A961" s="22"/>
      <c r="C961" s="64"/>
    </row>
    <row r="962" ht="17.25" customHeight="1">
      <c r="A962" s="22"/>
      <c r="C962" s="64"/>
    </row>
    <row r="963" ht="17.25" customHeight="1">
      <c r="A963" s="22"/>
      <c r="C963" s="64"/>
    </row>
    <row r="964" ht="17.25" customHeight="1">
      <c r="A964" s="22"/>
      <c r="C964" s="64"/>
    </row>
    <row r="965" ht="17.25" customHeight="1">
      <c r="A965" s="22"/>
      <c r="C965" s="64"/>
    </row>
    <row r="966" ht="17.25" customHeight="1">
      <c r="A966" s="22"/>
      <c r="C966" s="64"/>
    </row>
    <row r="967" ht="17.25" customHeight="1">
      <c r="A967" s="22"/>
      <c r="C967" s="64"/>
    </row>
    <row r="968" ht="17.25" customHeight="1">
      <c r="A968" s="22"/>
      <c r="C968" s="64"/>
    </row>
    <row r="969" ht="17.25" customHeight="1">
      <c r="A969" s="22"/>
      <c r="C969" s="64"/>
    </row>
    <row r="970" ht="17.25" customHeight="1">
      <c r="A970" s="22"/>
      <c r="C970" s="64"/>
    </row>
    <row r="971" ht="17.25" customHeight="1">
      <c r="A971" s="22"/>
      <c r="C971" s="64"/>
    </row>
    <row r="972" ht="17.25" customHeight="1">
      <c r="A972" s="22"/>
      <c r="C972" s="64"/>
    </row>
    <row r="973" ht="17.25" customHeight="1">
      <c r="A973" s="22"/>
      <c r="C973" s="64"/>
    </row>
    <row r="974" ht="17.25" customHeight="1">
      <c r="A974" s="22"/>
      <c r="C974" s="64"/>
    </row>
    <row r="975" ht="17.25" customHeight="1">
      <c r="A975" s="22"/>
      <c r="C975" s="64"/>
    </row>
    <row r="976" ht="17.25" customHeight="1">
      <c r="A976" s="22"/>
      <c r="C976" s="64"/>
    </row>
    <row r="977" ht="17.25" customHeight="1">
      <c r="A977" s="22"/>
      <c r="C977" s="64"/>
    </row>
    <row r="978" ht="17.25" customHeight="1">
      <c r="A978" s="22"/>
      <c r="C978" s="64"/>
    </row>
    <row r="979" ht="17.25" customHeight="1">
      <c r="A979" s="22"/>
      <c r="C979" s="64"/>
    </row>
    <row r="980" ht="17.25" customHeight="1">
      <c r="A980" s="22"/>
      <c r="C980" s="64"/>
    </row>
    <row r="981" ht="17.25" customHeight="1">
      <c r="A981" s="22"/>
      <c r="C981" s="64"/>
    </row>
    <row r="982" ht="17.25" customHeight="1">
      <c r="A982" s="22"/>
      <c r="C982" s="64"/>
    </row>
    <row r="983" ht="17.25" customHeight="1">
      <c r="A983" s="22"/>
      <c r="C983" s="64"/>
    </row>
    <row r="984" ht="17.25" customHeight="1">
      <c r="A984" s="22"/>
      <c r="C984" s="64"/>
    </row>
    <row r="985" ht="17.25" customHeight="1">
      <c r="A985" s="22"/>
      <c r="C985" s="64"/>
    </row>
    <row r="986" ht="17.25" customHeight="1">
      <c r="A986" s="22"/>
      <c r="C986" s="64"/>
    </row>
    <row r="987" ht="17.25" customHeight="1">
      <c r="A987" s="22"/>
      <c r="C987" s="64"/>
    </row>
    <row r="988" ht="17.25" customHeight="1">
      <c r="A988" s="22"/>
      <c r="C988" s="64"/>
    </row>
    <row r="989" ht="17.25" customHeight="1">
      <c r="A989" s="22"/>
      <c r="C989" s="64"/>
    </row>
    <row r="990" ht="17.25" customHeight="1">
      <c r="A990" s="22"/>
      <c r="C990" s="64"/>
    </row>
    <row r="991" ht="17.25" customHeight="1">
      <c r="A991" s="22"/>
      <c r="C991" s="64"/>
    </row>
    <row r="992" ht="17.25" customHeight="1">
      <c r="A992" s="22"/>
      <c r="C992" s="64"/>
    </row>
    <row r="993" ht="17.25" customHeight="1">
      <c r="A993" s="22"/>
      <c r="C993" s="64"/>
    </row>
    <row r="994" ht="17.25" customHeight="1">
      <c r="A994" s="22"/>
      <c r="C994" s="64"/>
    </row>
    <row r="995" ht="17.25" customHeight="1">
      <c r="A995" s="22"/>
      <c r="C995" s="64"/>
    </row>
    <row r="996" ht="17.25" customHeight="1">
      <c r="A996" s="22"/>
      <c r="C996" s="64"/>
    </row>
    <row r="997" ht="17.25" customHeight="1">
      <c r="A997" s="22"/>
      <c r="C997" s="64"/>
    </row>
    <row r="998" ht="17.25" customHeight="1">
      <c r="A998" s="22"/>
      <c r="C998" s="64"/>
    </row>
    <row r="999" ht="17.25" customHeight="1">
      <c r="A999" s="22"/>
      <c r="C999" s="64"/>
    </row>
  </sheetData>
  <mergeCells count="1">
    <mergeCell ref="B47:O4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2.89"/>
    <col customWidth="1" min="3" max="3" width="10.56"/>
    <col customWidth="1" min="4" max="4" width="18.33"/>
    <col customWidth="1" min="5" max="5" width="27.78"/>
    <col customWidth="1" min="9" max="9" width="16.67"/>
    <col customWidth="1" min="14" max="14" width="20.33"/>
    <col customWidth="1" min="15" max="15" width="13.33"/>
    <col customWidth="1" min="16" max="16" width="13.56"/>
    <col customWidth="1" min="18" max="18" width="27.11"/>
  </cols>
  <sheetData>
    <row r="1">
      <c r="A1" s="49" t="s">
        <v>44</v>
      </c>
      <c r="B1" s="49" t="s">
        <v>45</v>
      </c>
      <c r="C1" s="49" t="s">
        <v>46</v>
      </c>
      <c r="D1" s="49" t="s">
        <v>47</v>
      </c>
      <c r="F1" s="49" t="s">
        <v>48</v>
      </c>
      <c r="G1" s="49" t="s">
        <v>49</v>
      </c>
      <c r="I1" s="49" t="s">
        <v>50</v>
      </c>
      <c r="J1" s="49" t="s">
        <v>51</v>
      </c>
      <c r="L1" s="49" t="s">
        <v>52</v>
      </c>
      <c r="M1" s="49" t="s">
        <v>53</v>
      </c>
      <c r="N1" s="49" t="s">
        <v>54</v>
      </c>
      <c r="O1" s="49" t="s">
        <v>55</v>
      </c>
      <c r="P1" s="49" t="s">
        <v>56</v>
      </c>
      <c r="Q1" s="49" t="s">
        <v>57</v>
      </c>
      <c r="R1" s="49" t="s">
        <v>58</v>
      </c>
    </row>
    <row r="2">
      <c r="A2" s="49" t="s">
        <v>59</v>
      </c>
      <c r="B2" s="65">
        <v>2.3E8</v>
      </c>
      <c r="C2" s="65">
        <v>5425000.0</v>
      </c>
      <c r="D2" s="65">
        <v>4628000.0</v>
      </c>
      <c r="E2" s="66"/>
      <c r="F2" s="65">
        <v>750000.0</v>
      </c>
      <c r="G2" s="65">
        <v>5000000.0</v>
      </c>
      <c r="H2" s="66"/>
      <c r="I2" s="66">
        <f t="shared" ref="I2:I5" si="1">SUM(B2:G2)</f>
        <v>245803000</v>
      </c>
      <c r="J2" s="65">
        <v>5.0E7</v>
      </c>
      <c r="L2" s="67">
        <v>45147.0</v>
      </c>
      <c r="M2" s="65">
        <v>0.0</v>
      </c>
      <c r="N2" s="49" t="s">
        <v>60</v>
      </c>
      <c r="O2" s="66">
        <f t="shared" ref="O2:O5" si="2">I2-M2</f>
        <v>245803000</v>
      </c>
    </row>
    <row r="3">
      <c r="A3" s="49" t="s">
        <v>61</v>
      </c>
      <c r="B3" s="65">
        <v>2.35889745E8</v>
      </c>
      <c r="C3" s="66"/>
      <c r="D3" s="65">
        <v>2.1968182E7</v>
      </c>
      <c r="E3" s="66"/>
      <c r="F3" s="65">
        <v>750000.0</v>
      </c>
      <c r="G3" s="65">
        <v>1.0E7</v>
      </c>
      <c r="H3" s="66"/>
      <c r="I3" s="66">
        <f t="shared" si="1"/>
        <v>268607927</v>
      </c>
      <c r="J3" s="65">
        <v>3.5E7</v>
      </c>
      <c r="L3" s="68"/>
      <c r="M3" s="65">
        <v>0.0</v>
      </c>
      <c r="N3" s="49" t="s">
        <v>62</v>
      </c>
      <c r="O3" s="66">
        <f t="shared" si="2"/>
        <v>268607927</v>
      </c>
    </row>
    <row r="4">
      <c r="A4" s="49" t="s">
        <v>63</v>
      </c>
      <c r="B4" s="65">
        <v>2.5E8</v>
      </c>
      <c r="C4" s="65">
        <v>1.2725E7</v>
      </c>
      <c r="E4" s="66"/>
      <c r="F4" s="65">
        <v>550000.0</v>
      </c>
      <c r="G4" s="65">
        <v>2000000.0</v>
      </c>
      <c r="H4" s="66"/>
      <c r="I4" s="66">
        <f t="shared" si="1"/>
        <v>265275000</v>
      </c>
      <c r="J4" s="49" t="s">
        <v>64</v>
      </c>
      <c r="M4" s="66"/>
      <c r="N4" s="49" t="s">
        <v>65</v>
      </c>
      <c r="O4" s="66">
        <f t="shared" si="2"/>
        <v>265275000</v>
      </c>
      <c r="P4" s="49" t="s">
        <v>66</v>
      </c>
      <c r="Q4" s="49">
        <v>5.0</v>
      </c>
    </row>
    <row r="5">
      <c r="A5" s="49" t="s">
        <v>67</v>
      </c>
      <c r="B5" s="65">
        <v>2.5E8</v>
      </c>
      <c r="C5" s="65">
        <v>1.535E7</v>
      </c>
      <c r="E5" s="66"/>
      <c r="F5" s="65">
        <v>550000.0</v>
      </c>
      <c r="G5" s="65">
        <v>2000000.0</v>
      </c>
      <c r="H5" s="66"/>
      <c r="I5" s="66">
        <f t="shared" si="1"/>
        <v>267900000</v>
      </c>
      <c r="J5" s="49" t="s">
        <v>64</v>
      </c>
      <c r="M5" s="66"/>
      <c r="N5" s="49" t="s">
        <v>65</v>
      </c>
      <c r="O5" s="69">
        <f t="shared" si="2"/>
        <v>267900000</v>
      </c>
      <c r="P5" s="49" t="s">
        <v>66</v>
      </c>
      <c r="Q5" s="49">
        <v>5.0</v>
      </c>
    </row>
    <row r="6">
      <c r="I6" s="66">
        <f>SUM(I2:I5)</f>
        <v>1047585927</v>
      </c>
      <c r="M6" s="65">
        <v>9.9E8</v>
      </c>
      <c r="N6" s="49" t="s">
        <v>65</v>
      </c>
      <c r="R6" s="49">
        <v>1.098357E7</v>
      </c>
    </row>
    <row r="7">
      <c r="A7" s="49" t="s">
        <v>68</v>
      </c>
      <c r="B7" s="49">
        <v>2.0E8</v>
      </c>
      <c r="G7" s="49">
        <v>7000000.0</v>
      </c>
      <c r="H7" s="49" t="s">
        <v>69</v>
      </c>
    </row>
    <row r="9">
      <c r="C9" s="49"/>
    </row>
    <row r="10">
      <c r="D10" s="49"/>
      <c r="F10" s="49"/>
    </row>
    <row r="11">
      <c r="E11" s="49"/>
      <c r="F11" s="49"/>
    </row>
  </sheetData>
  <mergeCells count="3">
    <mergeCell ref="C4:D4"/>
    <mergeCell ref="C5:D5"/>
    <mergeCell ref="D10:E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891D"/>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71" t="s">
        <v>71</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76">
        <v>0.0</v>
      </c>
      <c r="L3" s="77" t="s">
        <v>81</v>
      </c>
      <c r="M3" s="18" t="s">
        <v>82</v>
      </c>
      <c r="N3" s="20" t="s">
        <v>83</v>
      </c>
      <c r="O3" s="21" t="s">
        <v>84</v>
      </c>
      <c r="P3" s="10"/>
      <c r="Q3" s="10"/>
      <c r="R3" s="10"/>
      <c r="S3" s="10"/>
      <c r="T3" s="10"/>
      <c r="U3" s="10"/>
      <c r="V3" s="10"/>
      <c r="W3" s="10"/>
      <c r="X3" s="10"/>
      <c r="Y3" s="10"/>
      <c r="Z3" s="10"/>
    </row>
    <row r="4" ht="18.0" customHeight="1">
      <c r="A4" s="22"/>
      <c r="B4" s="23" t="s">
        <v>11</v>
      </c>
      <c r="C4" s="24"/>
      <c r="E4" s="24"/>
      <c r="F4" s="25"/>
      <c r="G4" s="24"/>
      <c r="H4" s="24"/>
      <c r="I4" s="78">
        <v>0.0</v>
      </c>
      <c r="J4" s="24"/>
      <c r="K4" s="79">
        <v>0.0</v>
      </c>
      <c r="L4" s="78">
        <v>0.0</v>
      </c>
      <c r="M4" s="79">
        <v>0.0</v>
      </c>
      <c r="N4" s="80">
        <v>0.0</v>
      </c>
      <c r="O4" s="27"/>
      <c r="P4" s="22"/>
    </row>
    <row r="5" ht="18.0" customHeight="1">
      <c r="A5" s="22"/>
      <c r="B5" s="28" t="str">
        <f>'Property Management Overview'!B5</f>
        <v>RENTAL INCOME</v>
      </c>
      <c r="C5" s="81" t="s">
        <v>66</v>
      </c>
      <c r="D5" s="82" t="s">
        <v>66</v>
      </c>
      <c r="E5" s="29">
        <v>0.0</v>
      </c>
      <c r="F5" s="35">
        <v>0.0</v>
      </c>
      <c r="G5" s="30">
        <v>0.0</v>
      </c>
      <c r="H5" s="30">
        <v>0.0</v>
      </c>
      <c r="I5" s="83">
        <v>0.0</v>
      </c>
      <c r="J5" s="31">
        <v>0.0</v>
      </c>
      <c r="K5" s="84" t="s">
        <v>66</v>
      </c>
      <c r="L5" s="85" t="s">
        <v>66</v>
      </c>
      <c r="M5" s="86" t="s">
        <v>66</v>
      </c>
      <c r="N5" s="87" t="s">
        <v>66</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H7" si="2">SUM(C5:C6)</f>
        <v>0</v>
      </c>
      <c r="D7" s="39">
        <f t="shared" si="2"/>
        <v>0</v>
      </c>
      <c r="E7" s="39">
        <f t="shared" si="2"/>
        <v>0</v>
      </c>
      <c r="F7" s="45">
        <f t="shared" si="2"/>
        <v>0</v>
      </c>
      <c r="G7" s="40">
        <f t="shared" si="2"/>
        <v>0</v>
      </c>
      <c r="H7" s="40">
        <f t="shared" si="2"/>
        <v>0</v>
      </c>
      <c r="I7" s="88">
        <v>0.0</v>
      </c>
      <c r="J7" s="41">
        <f t="shared" ref="J7:N7" si="3">SUM(J5:J6)</f>
        <v>0</v>
      </c>
      <c r="K7" s="41">
        <f t="shared" si="3"/>
        <v>0</v>
      </c>
      <c r="L7" s="42">
        <f t="shared" si="3"/>
        <v>0</v>
      </c>
      <c r="M7" s="44">
        <f t="shared" si="3"/>
        <v>0</v>
      </c>
      <c r="N7" s="46">
        <f t="shared" si="3"/>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78">
        <v>0.0</v>
      </c>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4">SUM(C11:N11)</f>
        <v>0</v>
      </c>
      <c r="P11" s="22"/>
    </row>
    <row r="12" ht="18.0" customHeight="1">
      <c r="A12" s="22"/>
      <c r="B12" s="48" t="s">
        <v>18</v>
      </c>
      <c r="C12" s="82">
        <v>0.0</v>
      </c>
      <c r="D12" s="82">
        <v>0.0</v>
      </c>
      <c r="E12" s="82">
        <v>0.0</v>
      </c>
      <c r="F12" s="89">
        <v>0.0</v>
      </c>
      <c r="G12" s="90">
        <v>0.0</v>
      </c>
      <c r="H12" s="90">
        <v>0.0</v>
      </c>
      <c r="I12" s="83">
        <v>0.0</v>
      </c>
      <c r="J12" s="84">
        <v>0.0</v>
      </c>
      <c r="K12" s="84">
        <v>0.0</v>
      </c>
      <c r="L12" s="85" t="s">
        <v>66</v>
      </c>
      <c r="M12" s="86" t="s">
        <v>66</v>
      </c>
      <c r="N12" s="87" t="s">
        <v>66</v>
      </c>
      <c r="O12" s="37">
        <f t="shared" si="4"/>
        <v>0</v>
      </c>
      <c r="P12" s="22"/>
    </row>
    <row r="13" ht="18.0" customHeight="1">
      <c r="A13" s="22"/>
      <c r="B13" s="28" t="str">
        <f>'Property Management Overview'!B13</f>
        <v>AGENT FEES / COMMISSIONS</v>
      </c>
      <c r="C13" s="29">
        <v>0.0</v>
      </c>
      <c r="D13" s="29">
        <v>0.0</v>
      </c>
      <c r="E13" s="29">
        <v>0.0</v>
      </c>
      <c r="F13" s="35">
        <v>0.0</v>
      </c>
      <c r="G13" s="30">
        <v>0.0</v>
      </c>
      <c r="H13" s="30">
        <v>0.0</v>
      </c>
      <c r="I13" s="33">
        <v>0.0</v>
      </c>
      <c r="J13" s="33">
        <v>0.0</v>
      </c>
      <c r="K13" s="31">
        <v>0.0</v>
      </c>
      <c r="L13" s="32">
        <v>0.0</v>
      </c>
      <c r="M13" s="34">
        <v>0.0</v>
      </c>
      <c r="N13" s="36">
        <v>0.0</v>
      </c>
      <c r="O13" s="37">
        <f t="shared" si="4"/>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4"/>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4"/>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4"/>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4"/>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4"/>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4"/>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4"/>
        <v>0</v>
      </c>
      <c r="P20" s="22"/>
    </row>
    <row r="21" ht="18.0" customHeight="1">
      <c r="A21" s="22"/>
      <c r="B21" s="28" t="str">
        <f>'Property Management Overview'!B14</f>
        <v>AIR+LISTRIK</v>
      </c>
      <c r="C21" s="82">
        <v>0.0</v>
      </c>
      <c r="D21" s="82">
        <v>0.0</v>
      </c>
      <c r="E21" s="82">
        <v>0.0</v>
      </c>
      <c r="F21" s="89"/>
      <c r="G21" s="90">
        <v>0.0</v>
      </c>
      <c r="H21" s="90">
        <v>0.0</v>
      </c>
      <c r="I21" s="33">
        <v>0.0</v>
      </c>
      <c r="J21" s="31">
        <v>0.0</v>
      </c>
      <c r="K21" s="31">
        <v>0.0</v>
      </c>
      <c r="L21" s="32">
        <v>0.0</v>
      </c>
      <c r="M21" s="34">
        <v>0.0</v>
      </c>
      <c r="N21" s="36">
        <v>0.0</v>
      </c>
      <c r="O21" s="37">
        <f t="shared" si="4"/>
        <v>0</v>
      </c>
      <c r="P21" s="22"/>
    </row>
    <row r="22" ht="18.0" customHeight="1">
      <c r="A22" s="22"/>
      <c r="B22" s="28" t="str">
        <f>'Property Management Overview'!B22</f>
        <v>GAS</v>
      </c>
      <c r="C22" s="29">
        <v>0.0</v>
      </c>
      <c r="D22" s="29">
        <v>0.0</v>
      </c>
      <c r="E22" s="29">
        <v>0.0</v>
      </c>
      <c r="F22" s="35">
        <v>0.0</v>
      </c>
      <c r="G22" s="30">
        <v>0.0</v>
      </c>
      <c r="H22" s="30">
        <v>0.0</v>
      </c>
      <c r="I22" s="83">
        <v>0.0</v>
      </c>
      <c r="J22" s="31">
        <v>0.0</v>
      </c>
      <c r="K22" s="31">
        <v>0.0</v>
      </c>
      <c r="L22" s="32">
        <v>0.0</v>
      </c>
      <c r="M22" s="34">
        <v>0.0</v>
      </c>
      <c r="N22" s="36">
        <v>0.0</v>
      </c>
      <c r="O22" s="37">
        <f t="shared" si="4"/>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4"/>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4"/>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4"/>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4"/>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4"/>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4"/>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4"/>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4"/>
        <v>0</v>
      </c>
      <c r="P30" s="22"/>
    </row>
    <row r="31" ht="18.0" customHeight="1">
      <c r="A31" s="22"/>
      <c r="B31" s="28" t="str">
        <f>'Property Management Overview'!B31</f>
        <v>LAND TAX</v>
      </c>
      <c r="C31" s="29">
        <v>0.0</v>
      </c>
      <c r="D31" s="29">
        <v>0.0</v>
      </c>
      <c r="E31" s="29">
        <v>0.0</v>
      </c>
      <c r="F31" s="35">
        <v>0.0</v>
      </c>
      <c r="G31" s="90">
        <v>0.0</v>
      </c>
      <c r="H31" s="30">
        <v>0.0</v>
      </c>
      <c r="I31" s="33">
        <v>0.0</v>
      </c>
      <c r="J31" s="31">
        <v>0.0</v>
      </c>
      <c r="K31" s="31">
        <v>0.0</v>
      </c>
      <c r="L31" s="32">
        <v>0.0</v>
      </c>
      <c r="M31" s="34">
        <v>0.0</v>
      </c>
      <c r="N31" s="36">
        <v>0.0</v>
      </c>
      <c r="O31" s="37">
        <f t="shared" si="4"/>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4"/>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4"/>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4"/>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4"/>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4"/>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4"/>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4"/>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4"/>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4"/>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4"/>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4"/>
        <v>0</v>
      </c>
      <c r="P42" s="22"/>
    </row>
    <row r="43" ht="21.75" customHeight="1">
      <c r="A43" s="22"/>
      <c r="B43" s="38" t="s">
        <v>41</v>
      </c>
      <c r="C43" s="39">
        <f t="shared" ref="C43:N43" si="5">SUM(C11:C42)</f>
        <v>0</v>
      </c>
      <c r="D43" s="39">
        <f t="shared" si="5"/>
        <v>0</v>
      </c>
      <c r="E43" s="39">
        <f t="shared" si="5"/>
        <v>0</v>
      </c>
      <c r="F43" s="45">
        <f t="shared" si="5"/>
        <v>0</v>
      </c>
      <c r="G43" s="40">
        <f t="shared" si="5"/>
        <v>0</v>
      </c>
      <c r="H43" s="40">
        <f t="shared" si="5"/>
        <v>0</v>
      </c>
      <c r="I43" s="43">
        <f t="shared" si="5"/>
        <v>0</v>
      </c>
      <c r="J43" s="41">
        <f t="shared" si="5"/>
        <v>0</v>
      </c>
      <c r="K43" s="41">
        <f t="shared" si="5"/>
        <v>0</v>
      </c>
      <c r="L43" s="42">
        <f t="shared" si="5"/>
        <v>0</v>
      </c>
      <c r="M43" s="44">
        <f t="shared" si="5"/>
        <v>0</v>
      </c>
      <c r="N43" s="46">
        <f t="shared" si="5"/>
        <v>0</v>
      </c>
      <c r="O43" s="47">
        <f t="shared" si="4"/>
        <v>0</v>
      </c>
      <c r="P43" s="22"/>
    </row>
    <row r="44" ht="7.5" customHeight="1">
      <c r="A44" s="22"/>
      <c r="P44" s="22"/>
    </row>
    <row r="45" ht="36.0" customHeight="1">
      <c r="A45" s="22"/>
      <c r="B45" s="50" t="s">
        <v>86</v>
      </c>
      <c r="C45" s="51">
        <f t="shared" ref="C45:O45" si="6">C7-C43</f>
        <v>0</v>
      </c>
      <c r="D45" s="51">
        <f t="shared" si="6"/>
        <v>0</v>
      </c>
      <c r="E45" s="51">
        <f t="shared" si="6"/>
        <v>0</v>
      </c>
      <c r="F45" s="57">
        <f t="shared" si="6"/>
        <v>0</v>
      </c>
      <c r="G45" s="52">
        <f t="shared" si="6"/>
        <v>0</v>
      </c>
      <c r="H45" s="52">
        <f t="shared" si="6"/>
        <v>0</v>
      </c>
      <c r="I45" s="55">
        <f t="shared" si="6"/>
        <v>0</v>
      </c>
      <c r="J45" s="53">
        <f t="shared" si="6"/>
        <v>0</v>
      </c>
      <c r="K45" s="53">
        <f t="shared" si="6"/>
        <v>0</v>
      </c>
      <c r="L45" s="54">
        <f t="shared" si="6"/>
        <v>0</v>
      </c>
      <c r="M45" s="56">
        <f t="shared" si="6"/>
        <v>0</v>
      </c>
      <c r="N45" s="58">
        <f t="shared" si="6"/>
        <v>0</v>
      </c>
      <c r="O45" s="59">
        <f t="shared" si="6"/>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86D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71" t="s">
        <v>6</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79"/>
      <c r="D4" s="79"/>
      <c r="E4" s="79"/>
      <c r="F4" s="78"/>
      <c r="G4" s="79"/>
      <c r="H4" s="79"/>
      <c r="I4" s="78"/>
      <c r="J4" s="79"/>
      <c r="K4" s="79"/>
      <c r="L4" s="78"/>
      <c r="M4" s="79"/>
      <c r="N4" s="80"/>
      <c r="O4" s="27"/>
      <c r="P4" s="22"/>
    </row>
    <row r="5" ht="18.0" customHeight="1">
      <c r="A5" s="22"/>
      <c r="B5" s="28" t="str">
        <f>'Property Management Overview'!B5</f>
        <v>RENTAL INCOME</v>
      </c>
      <c r="C5" s="83">
        <v>2085000.0</v>
      </c>
      <c r="D5" s="83">
        <v>2085000.0</v>
      </c>
      <c r="E5" s="83">
        <v>2085000.0</v>
      </c>
      <c r="F5" s="83">
        <v>2085000.0</v>
      </c>
      <c r="G5" s="83">
        <v>2085000.0</v>
      </c>
      <c r="H5" s="83">
        <v>2085000.0</v>
      </c>
      <c r="I5" s="33">
        <v>0.0</v>
      </c>
      <c r="J5" s="31">
        <v>0.0</v>
      </c>
      <c r="K5" s="31">
        <v>0.0</v>
      </c>
      <c r="L5" s="32">
        <v>0.0</v>
      </c>
      <c r="M5" s="34">
        <v>0.0</v>
      </c>
      <c r="N5" s="36">
        <v>0.0</v>
      </c>
      <c r="O5" s="37">
        <f t="shared" ref="O5:O7" si="1">SUM(C5:N5)</f>
        <v>12510000</v>
      </c>
      <c r="P5" s="22"/>
      <c r="Q5" s="49" t="s">
        <v>87</v>
      </c>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2085000</v>
      </c>
      <c r="D7" s="39">
        <f t="shared" si="2"/>
        <v>2085000</v>
      </c>
      <c r="E7" s="39">
        <f t="shared" si="2"/>
        <v>2085000</v>
      </c>
      <c r="F7" s="45">
        <f t="shared" si="2"/>
        <v>2085000</v>
      </c>
      <c r="G7" s="40">
        <f t="shared" si="2"/>
        <v>2085000</v>
      </c>
      <c r="H7" s="40">
        <f t="shared" si="2"/>
        <v>2085000</v>
      </c>
      <c r="I7" s="43">
        <f t="shared" si="2"/>
        <v>0</v>
      </c>
      <c r="J7" s="41">
        <f t="shared" si="2"/>
        <v>0</v>
      </c>
      <c r="K7" s="41">
        <f t="shared" si="2"/>
        <v>0</v>
      </c>
      <c r="L7" s="42">
        <f t="shared" si="2"/>
        <v>0</v>
      </c>
      <c r="M7" s="44">
        <f t="shared" si="2"/>
        <v>0</v>
      </c>
      <c r="N7" s="46">
        <f t="shared" si="2"/>
        <v>0</v>
      </c>
      <c r="O7" s="47">
        <f t="shared" si="1"/>
        <v>12510000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83">
        <v>0.0</v>
      </c>
      <c r="J12" s="84">
        <v>0.0</v>
      </c>
      <c r="K12" s="84">
        <v>0.0</v>
      </c>
      <c r="L12" s="85">
        <v>0.0</v>
      </c>
      <c r="M12" s="86">
        <v>0.0</v>
      </c>
      <c r="N12" s="87">
        <v>0.0</v>
      </c>
      <c r="O12" s="37">
        <f t="shared" si="3"/>
        <v>0</v>
      </c>
      <c r="P12" s="22"/>
    </row>
    <row r="13" ht="18.0" customHeight="1">
      <c r="A13" s="22"/>
      <c r="B13" s="28" t="str">
        <f>'Property Management Overview'!B13</f>
        <v>AGENT FEES / COMMISSIONS</v>
      </c>
      <c r="C13" s="83">
        <v>210000.0</v>
      </c>
      <c r="D13" s="83">
        <v>210000.0</v>
      </c>
      <c r="E13" s="83">
        <v>210000.0</v>
      </c>
      <c r="F13" s="83">
        <v>210000.0</v>
      </c>
      <c r="G13" s="83">
        <v>210000.0</v>
      </c>
      <c r="H13" s="83">
        <v>210000.0</v>
      </c>
      <c r="I13" s="83">
        <v>0.0</v>
      </c>
      <c r="J13" s="84">
        <v>0.0</v>
      </c>
      <c r="K13" s="84">
        <v>0.0</v>
      </c>
      <c r="L13" s="85">
        <v>0.0</v>
      </c>
      <c r="M13" s="86">
        <v>0.0</v>
      </c>
      <c r="N13" s="87">
        <v>0.0</v>
      </c>
      <c r="O13" s="37">
        <f t="shared" si="3"/>
        <v>1260000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84" t="s">
        <v>66</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90">
        <v>240675.0</v>
      </c>
      <c r="H31" s="30">
        <v>0.0</v>
      </c>
      <c r="I31" s="33">
        <v>0.0</v>
      </c>
      <c r="J31" s="31">
        <v>0.0</v>
      </c>
      <c r="K31" s="31">
        <v>0.0</v>
      </c>
      <c r="L31" s="32">
        <v>0.0</v>
      </c>
      <c r="M31" s="34">
        <v>0.0</v>
      </c>
      <c r="N31" s="36">
        <v>0.0</v>
      </c>
      <c r="O31" s="37">
        <f t="shared" si="3"/>
        <v>240675</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210000</v>
      </c>
      <c r="D43" s="39">
        <f t="shared" si="4"/>
        <v>210000</v>
      </c>
      <c r="E43" s="39">
        <f t="shared" si="4"/>
        <v>210000</v>
      </c>
      <c r="F43" s="45">
        <f t="shared" si="4"/>
        <v>210000</v>
      </c>
      <c r="G43" s="40">
        <f t="shared" si="4"/>
        <v>450675</v>
      </c>
      <c r="H43" s="40">
        <f t="shared" si="4"/>
        <v>210000</v>
      </c>
      <c r="I43" s="43">
        <f t="shared" si="4"/>
        <v>0</v>
      </c>
      <c r="J43" s="41">
        <f t="shared" si="4"/>
        <v>0</v>
      </c>
      <c r="K43" s="41">
        <f t="shared" si="4"/>
        <v>0</v>
      </c>
      <c r="L43" s="42">
        <f t="shared" si="4"/>
        <v>0</v>
      </c>
      <c r="M43" s="44">
        <f t="shared" si="4"/>
        <v>0</v>
      </c>
      <c r="N43" s="46">
        <f t="shared" si="4"/>
        <v>0</v>
      </c>
      <c r="O43" s="47">
        <f t="shared" si="3"/>
        <v>1500675</v>
      </c>
      <c r="P43" s="22"/>
    </row>
    <row r="44" ht="7.5" customHeight="1">
      <c r="A44" s="22"/>
      <c r="P44" s="22"/>
    </row>
    <row r="45" ht="36.0" customHeight="1">
      <c r="A45" s="22"/>
      <c r="B45" s="50" t="s">
        <v>42</v>
      </c>
      <c r="C45" s="51">
        <f t="shared" ref="C45:O45" si="5">C7-C43</f>
        <v>1875000</v>
      </c>
      <c r="D45" s="51">
        <f t="shared" si="5"/>
        <v>1875000</v>
      </c>
      <c r="E45" s="51">
        <f t="shared" si="5"/>
        <v>1875000</v>
      </c>
      <c r="F45" s="57">
        <f t="shared" si="5"/>
        <v>1875000</v>
      </c>
      <c r="G45" s="52">
        <f t="shared" si="5"/>
        <v>1634325</v>
      </c>
      <c r="H45" s="52">
        <f t="shared" si="5"/>
        <v>1875000</v>
      </c>
      <c r="I45" s="55">
        <f t="shared" si="5"/>
        <v>0</v>
      </c>
      <c r="J45" s="53">
        <f t="shared" si="5"/>
        <v>0</v>
      </c>
      <c r="K45" s="53">
        <f t="shared" si="5"/>
        <v>0</v>
      </c>
      <c r="L45" s="54">
        <f t="shared" si="5"/>
        <v>0</v>
      </c>
      <c r="M45" s="56">
        <f t="shared" si="5"/>
        <v>0</v>
      </c>
      <c r="N45" s="58">
        <f t="shared" si="5"/>
        <v>0</v>
      </c>
      <c r="O45" s="59">
        <f t="shared" si="5"/>
        <v>11009325</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6262"/>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71" t="s">
        <v>7</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79" t="s">
        <v>88</v>
      </c>
      <c r="D4" s="79" t="s">
        <v>89</v>
      </c>
      <c r="E4" s="79"/>
      <c r="F4" s="78"/>
      <c r="G4" s="79"/>
      <c r="H4" s="79"/>
      <c r="I4" s="78"/>
      <c r="J4" s="79"/>
      <c r="K4" s="79"/>
      <c r="L4" s="25"/>
      <c r="M4" s="79"/>
      <c r="N4" s="80"/>
      <c r="O4" s="27"/>
      <c r="P4" s="22"/>
    </row>
    <row r="5" ht="18.0" customHeight="1">
      <c r="A5" s="22"/>
      <c r="B5" s="28" t="str">
        <f>'Property Management Overview'!B5</f>
        <v>RENTAL INCOME</v>
      </c>
      <c r="C5" s="82">
        <v>2500000.0</v>
      </c>
      <c r="D5" s="82">
        <v>2500000.0</v>
      </c>
      <c r="E5" s="82"/>
      <c r="F5" s="89"/>
      <c r="G5" s="90"/>
      <c r="H5" s="90"/>
      <c r="I5" s="83"/>
      <c r="J5" s="84"/>
      <c r="K5" s="84"/>
      <c r="L5" s="32"/>
      <c r="M5" s="86"/>
      <c r="N5" s="87"/>
      <c r="O5" s="37">
        <f t="shared" ref="O5:O7" si="1">SUM(C5:N5)</f>
        <v>5000000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2500000</v>
      </c>
      <c r="D7" s="39">
        <f t="shared" si="2"/>
        <v>2500000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5000000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78" t="s">
        <v>90</v>
      </c>
      <c r="J10" s="24"/>
      <c r="K10" s="49" t="s">
        <v>91</v>
      </c>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82">
        <v>300000.0</v>
      </c>
      <c r="D12" s="82">
        <v>300000.0</v>
      </c>
      <c r="E12" s="82">
        <v>300000.0</v>
      </c>
      <c r="F12" s="89"/>
      <c r="G12" s="90"/>
      <c r="H12" s="90"/>
      <c r="I12" s="83"/>
      <c r="J12" s="84"/>
      <c r="K12" s="84"/>
      <c r="L12" s="85"/>
      <c r="M12" s="86"/>
      <c r="N12" s="87"/>
      <c r="O12" s="37">
        <f t="shared" si="3"/>
        <v>900000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8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5">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82">
        <v>0.0</v>
      </c>
      <c r="D21" s="29">
        <v>0.0</v>
      </c>
      <c r="E21" s="29">
        <v>0.0</v>
      </c>
      <c r="F21" s="35">
        <v>0.0</v>
      </c>
      <c r="G21" s="30">
        <v>0.0</v>
      </c>
      <c r="H21" s="30">
        <v>0.0</v>
      </c>
      <c r="I21" s="33">
        <v>0.0</v>
      </c>
      <c r="J21" s="31">
        <v>0.0</v>
      </c>
      <c r="K21" s="84">
        <v>0.0</v>
      </c>
      <c r="L21" s="85">
        <v>0.0</v>
      </c>
      <c r="M21" s="86">
        <v>0.0</v>
      </c>
      <c r="N21" s="87"/>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84">
        <v>310000.0</v>
      </c>
      <c r="K29" s="31">
        <v>0.0</v>
      </c>
      <c r="L29" s="32">
        <v>0.0</v>
      </c>
      <c r="M29" s="34">
        <v>0.0</v>
      </c>
      <c r="N29" s="36">
        <v>0.0</v>
      </c>
      <c r="O29" s="37">
        <f t="shared" si="3"/>
        <v>310000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90">
        <v>240675.0</v>
      </c>
      <c r="H31" s="30">
        <v>0.0</v>
      </c>
      <c r="I31" s="33">
        <v>0.0</v>
      </c>
      <c r="J31" s="31">
        <v>0.0</v>
      </c>
      <c r="K31" s="31">
        <v>0.0</v>
      </c>
      <c r="L31" s="32">
        <v>0.0</v>
      </c>
      <c r="M31" s="34">
        <v>0.0</v>
      </c>
      <c r="N31" s="36">
        <v>0.0</v>
      </c>
      <c r="O31" s="37">
        <f t="shared" si="3"/>
        <v>240675</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82" t="s">
        <v>66</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300000</v>
      </c>
      <c r="D43" s="39">
        <f t="shared" si="4"/>
        <v>300000</v>
      </c>
      <c r="E43" s="39">
        <f t="shared" si="4"/>
        <v>300000</v>
      </c>
      <c r="F43" s="45">
        <f t="shared" si="4"/>
        <v>0</v>
      </c>
      <c r="G43" s="40">
        <f t="shared" si="4"/>
        <v>240675</v>
      </c>
      <c r="H43" s="40">
        <f t="shared" si="4"/>
        <v>0</v>
      </c>
      <c r="I43" s="43">
        <f t="shared" si="4"/>
        <v>0</v>
      </c>
      <c r="J43" s="41">
        <f t="shared" si="4"/>
        <v>310000</v>
      </c>
      <c r="K43" s="41">
        <f t="shared" si="4"/>
        <v>0</v>
      </c>
      <c r="L43" s="42">
        <f t="shared" si="4"/>
        <v>0</v>
      </c>
      <c r="M43" s="44">
        <f t="shared" si="4"/>
        <v>0</v>
      </c>
      <c r="N43" s="46">
        <f t="shared" si="4"/>
        <v>0</v>
      </c>
      <c r="O43" s="47">
        <f t="shared" si="3"/>
        <v>1450675</v>
      </c>
      <c r="P43" s="22"/>
    </row>
    <row r="44" ht="7.5" customHeight="1">
      <c r="A44" s="22"/>
      <c r="P44" s="22"/>
    </row>
    <row r="45" ht="36.0" customHeight="1">
      <c r="A45" s="22"/>
      <c r="B45" s="50" t="s">
        <v>42</v>
      </c>
      <c r="C45" s="51">
        <f t="shared" ref="C45:O45" si="5">C7-C43</f>
        <v>2200000</v>
      </c>
      <c r="D45" s="51">
        <f t="shared" si="5"/>
        <v>2200000</v>
      </c>
      <c r="E45" s="51">
        <f t="shared" si="5"/>
        <v>-300000</v>
      </c>
      <c r="F45" s="57">
        <f t="shared" si="5"/>
        <v>0</v>
      </c>
      <c r="G45" s="52">
        <f t="shared" si="5"/>
        <v>-240675</v>
      </c>
      <c r="H45" s="52">
        <f t="shared" si="5"/>
        <v>0</v>
      </c>
      <c r="I45" s="55">
        <f t="shared" si="5"/>
        <v>0</v>
      </c>
      <c r="J45" s="53">
        <f t="shared" si="5"/>
        <v>-310000</v>
      </c>
      <c r="K45" s="53">
        <f t="shared" si="5"/>
        <v>0</v>
      </c>
      <c r="L45" s="54">
        <f t="shared" si="5"/>
        <v>0</v>
      </c>
      <c r="M45" s="56">
        <f t="shared" si="5"/>
        <v>0</v>
      </c>
      <c r="N45" s="58">
        <f t="shared" si="5"/>
        <v>0</v>
      </c>
      <c r="O45" s="59">
        <f t="shared" si="5"/>
        <v>3549325</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94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71" t="s">
        <v>8</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78">
        <v>0.0</v>
      </c>
      <c r="G4" s="79">
        <v>0.0</v>
      </c>
      <c r="H4" s="79">
        <v>0.0</v>
      </c>
      <c r="I4" s="25"/>
      <c r="J4" s="79">
        <v>0.0</v>
      </c>
      <c r="K4" s="24"/>
      <c r="L4" s="78">
        <v>0.0</v>
      </c>
      <c r="M4" s="79">
        <v>0.0</v>
      </c>
      <c r="N4" s="26"/>
      <c r="O4" s="27"/>
      <c r="P4" s="22"/>
    </row>
    <row r="5" ht="18.0" customHeight="1">
      <c r="A5" s="22"/>
      <c r="B5" s="28" t="str">
        <f>'Property Management Overview'!B5</f>
        <v>RENTAL INCOME</v>
      </c>
      <c r="C5" s="82"/>
      <c r="D5" s="82"/>
      <c r="E5" s="82"/>
      <c r="F5" s="89"/>
      <c r="G5" s="90"/>
      <c r="H5" s="90"/>
      <c r="I5" s="83"/>
      <c r="J5" s="84"/>
      <c r="K5" s="84"/>
      <c r="L5" s="85"/>
      <c r="M5" s="86"/>
      <c r="N5" s="87"/>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49">
        <v>0.0</v>
      </c>
      <c r="L10" s="78">
        <v>0.0</v>
      </c>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82">
        <v>0.0</v>
      </c>
      <c r="D12" s="82">
        <v>0.0</v>
      </c>
      <c r="E12" s="82">
        <v>0.0</v>
      </c>
      <c r="F12" s="89">
        <v>0.0</v>
      </c>
      <c r="G12" s="90">
        <v>0.0</v>
      </c>
      <c r="H12" s="90">
        <v>0.0</v>
      </c>
      <c r="I12" s="83">
        <v>0.0</v>
      </c>
      <c r="J12" s="84">
        <v>0.0</v>
      </c>
      <c r="K12" s="84">
        <v>0.0</v>
      </c>
      <c r="L12" s="85">
        <v>0.0</v>
      </c>
      <c r="M12" s="86">
        <v>0.0</v>
      </c>
      <c r="N12" s="87">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82">
        <v>0.0</v>
      </c>
      <c r="D21" s="29">
        <v>0.0</v>
      </c>
      <c r="E21" s="29">
        <v>0.0</v>
      </c>
      <c r="F21" s="35">
        <v>0.0</v>
      </c>
      <c r="G21" s="30">
        <v>0.0</v>
      </c>
      <c r="H21" s="30">
        <v>0.0</v>
      </c>
      <c r="I21" s="33">
        <v>0.0</v>
      </c>
      <c r="J21" s="31">
        <v>0.0</v>
      </c>
      <c r="K21" s="84" t="s">
        <v>66</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90">
        <v>240675.0</v>
      </c>
      <c r="H31" s="30">
        <v>0.0</v>
      </c>
      <c r="I31" s="33">
        <v>0.0</v>
      </c>
      <c r="J31" s="31">
        <v>0.0</v>
      </c>
      <c r="K31" s="31">
        <v>0.0</v>
      </c>
      <c r="L31" s="32">
        <v>0.0</v>
      </c>
      <c r="M31" s="34">
        <v>0.0</v>
      </c>
      <c r="N31" s="36">
        <v>0.0</v>
      </c>
      <c r="O31" s="37">
        <f t="shared" si="3"/>
        <v>240675</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240675</v>
      </c>
      <c r="H43" s="40">
        <f t="shared" si="4"/>
        <v>0</v>
      </c>
      <c r="I43" s="43">
        <f t="shared" si="4"/>
        <v>0</v>
      </c>
      <c r="J43" s="41">
        <f t="shared" si="4"/>
        <v>0</v>
      </c>
      <c r="K43" s="41">
        <f t="shared" si="4"/>
        <v>0</v>
      </c>
      <c r="L43" s="42">
        <f t="shared" si="4"/>
        <v>0</v>
      </c>
      <c r="M43" s="44">
        <f t="shared" si="4"/>
        <v>0</v>
      </c>
      <c r="N43" s="46">
        <f t="shared" si="4"/>
        <v>0</v>
      </c>
      <c r="O43" s="47">
        <f t="shared" si="3"/>
        <v>240675</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-240675</v>
      </c>
      <c r="H45" s="52">
        <f t="shared" si="5"/>
        <v>0</v>
      </c>
      <c r="I45" s="55">
        <f t="shared" si="5"/>
        <v>0</v>
      </c>
      <c r="J45" s="53">
        <f t="shared" si="5"/>
        <v>0</v>
      </c>
      <c r="K45" s="53">
        <f t="shared" si="5"/>
        <v>0</v>
      </c>
      <c r="L45" s="54">
        <f t="shared" si="5"/>
        <v>0</v>
      </c>
      <c r="M45" s="56">
        <f t="shared" si="5"/>
        <v>0</v>
      </c>
      <c r="N45" s="58">
        <f t="shared" si="5"/>
        <v>0</v>
      </c>
      <c r="O45" s="59">
        <f t="shared" si="5"/>
        <v>-240675</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891D"/>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71" t="s">
        <v>9</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79"/>
      <c r="D4" s="79"/>
      <c r="E4" s="79"/>
      <c r="F4" s="78"/>
      <c r="G4" s="79"/>
      <c r="H4" s="79"/>
      <c r="I4" s="25"/>
      <c r="J4" s="24"/>
      <c r="K4" s="24"/>
      <c r="L4" s="25"/>
      <c r="M4" s="24"/>
      <c r="N4" s="26"/>
      <c r="O4" s="27"/>
      <c r="P4" s="22"/>
    </row>
    <row r="5" ht="18.0" customHeight="1">
      <c r="A5" s="22"/>
      <c r="B5" s="28" t="str">
        <f>'Property Management Overview'!B5</f>
        <v>RENTAL INCOME</v>
      </c>
      <c r="C5" s="82">
        <v>1000000.0</v>
      </c>
      <c r="D5" s="82">
        <v>1000000.0</v>
      </c>
      <c r="E5" s="82"/>
      <c r="F5" s="89"/>
      <c r="G5" s="90"/>
      <c r="H5" s="90"/>
      <c r="I5" s="83"/>
      <c r="J5" s="84"/>
      <c r="K5" s="84"/>
      <c r="L5" s="85"/>
      <c r="M5" s="86"/>
      <c r="N5" s="87"/>
      <c r="O5" s="37">
        <f t="shared" ref="O5:O7" si="1">SUM(C5:N5)</f>
        <v>2000000</v>
      </c>
      <c r="P5" s="22"/>
    </row>
    <row r="6" ht="18.0" customHeight="1">
      <c r="A6" s="22"/>
      <c r="B6" s="28" t="str">
        <f>'Property Management Overview'!B6</f>
        <v>OTHER RENTAL INCOME  – Late Fees, Etc.</v>
      </c>
      <c r="C6" s="82"/>
      <c r="D6" s="29"/>
      <c r="E6" s="29"/>
      <c r="F6" s="89"/>
      <c r="G6" s="30"/>
      <c r="H6" s="30"/>
      <c r="I6" s="33"/>
      <c r="J6" s="31"/>
      <c r="K6" s="31"/>
      <c r="L6" s="32"/>
      <c r="M6" s="34"/>
      <c r="N6" s="36"/>
      <c r="O6" s="37">
        <f t="shared" si="1"/>
        <v>0</v>
      </c>
      <c r="P6" s="22"/>
    </row>
    <row r="7" ht="21.75" customHeight="1">
      <c r="A7" s="22"/>
      <c r="B7" s="38" t="s">
        <v>14</v>
      </c>
      <c r="C7" s="39">
        <f t="shared" ref="C7:N7" si="2">SUM(C5:C6)</f>
        <v>1000000</v>
      </c>
      <c r="D7" s="39">
        <f t="shared" si="2"/>
        <v>1000000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2000000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82"/>
      <c r="D11" s="82"/>
      <c r="E11" s="82"/>
      <c r="F11" s="89"/>
      <c r="G11" s="90"/>
      <c r="H11" s="90"/>
      <c r="I11" s="83"/>
      <c r="J11" s="84"/>
      <c r="K11" s="84"/>
      <c r="L11" s="85"/>
      <c r="M11" s="86"/>
      <c r="N11" s="87"/>
      <c r="O11" s="37">
        <f t="shared" ref="O11:O43" si="3">SUM(C11:N11)</f>
        <v>0</v>
      </c>
      <c r="P11" s="22"/>
    </row>
    <row r="12" ht="18.0" customHeight="1">
      <c r="A12" s="22"/>
      <c r="B12" s="28" t="str">
        <f>'Property Management Overview'!B12</f>
        <v>SERVICE CHARGE</v>
      </c>
      <c r="C12" s="82"/>
      <c r="D12" s="82"/>
      <c r="E12" s="82"/>
      <c r="F12" s="89"/>
      <c r="G12" s="90"/>
      <c r="H12" s="90"/>
      <c r="I12" s="33"/>
      <c r="J12" s="31"/>
      <c r="K12" s="31"/>
      <c r="L12" s="32"/>
      <c r="M12" s="34"/>
      <c r="N12" s="36"/>
      <c r="O12" s="37">
        <f t="shared" si="3"/>
        <v>0</v>
      </c>
      <c r="P12" s="22"/>
    </row>
    <row r="13" ht="18.0" customHeight="1">
      <c r="A13" s="22"/>
      <c r="B13" s="28" t="str">
        <f>'Property Management Overview'!B13</f>
        <v>AGENT FEES / COMMISSIONS</v>
      </c>
      <c r="C13" s="82">
        <v>100000.0</v>
      </c>
      <c r="D13" s="82">
        <v>100000.0</v>
      </c>
      <c r="E13" s="29">
        <v>0.0</v>
      </c>
      <c r="F13" s="35">
        <v>0.0</v>
      </c>
      <c r="G13" s="30">
        <v>0.0</v>
      </c>
      <c r="H13" s="30">
        <v>0.0</v>
      </c>
      <c r="I13" s="33">
        <v>0.0</v>
      </c>
      <c r="J13" s="31">
        <v>0.0</v>
      </c>
      <c r="K13" s="31">
        <v>0.0</v>
      </c>
      <c r="L13" s="32">
        <v>0.0</v>
      </c>
      <c r="M13" s="34">
        <v>0.0</v>
      </c>
      <c r="N13" s="36">
        <v>0.0</v>
      </c>
      <c r="O13" s="37">
        <f t="shared" si="3"/>
        <v>200000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82"/>
      <c r="D21" s="29"/>
      <c r="E21" s="82"/>
      <c r="F21" s="89"/>
      <c r="G21" s="90"/>
      <c r="H21" s="90"/>
      <c r="I21" s="33"/>
      <c r="J21" s="31"/>
      <c r="K21" s="84"/>
      <c r="L21" s="32"/>
      <c r="M21" s="34"/>
      <c r="N21" s="36"/>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90">
        <v>188577.0</v>
      </c>
      <c r="H31" s="30">
        <v>0.0</v>
      </c>
      <c r="I31" s="33">
        <v>0.0</v>
      </c>
      <c r="J31" s="31">
        <v>0.0</v>
      </c>
      <c r="K31" s="31">
        <v>0.0</v>
      </c>
      <c r="L31" s="32">
        <v>0.0</v>
      </c>
      <c r="M31" s="34">
        <v>0.0</v>
      </c>
      <c r="N31" s="36">
        <v>0.0</v>
      </c>
      <c r="O31" s="37">
        <f t="shared" si="3"/>
        <v>188577</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100000</v>
      </c>
      <c r="D43" s="39">
        <f t="shared" si="4"/>
        <v>100000</v>
      </c>
      <c r="E43" s="39">
        <f t="shared" si="4"/>
        <v>0</v>
      </c>
      <c r="F43" s="45">
        <f t="shared" si="4"/>
        <v>0</v>
      </c>
      <c r="G43" s="40">
        <f t="shared" si="4"/>
        <v>188577</v>
      </c>
      <c r="H43" s="40">
        <f t="shared" si="4"/>
        <v>0</v>
      </c>
      <c r="I43" s="43">
        <f t="shared" si="4"/>
        <v>0</v>
      </c>
      <c r="J43" s="41">
        <f t="shared" si="4"/>
        <v>0</v>
      </c>
      <c r="K43" s="41">
        <f t="shared" si="4"/>
        <v>0</v>
      </c>
      <c r="L43" s="42">
        <f t="shared" si="4"/>
        <v>0</v>
      </c>
      <c r="M43" s="44">
        <f t="shared" si="4"/>
        <v>0</v>
      </c>
      <c r="N43" s="46">
        <f t="shared" si="4"/>
        <v>0</v>
      </c>
      <c r="O43" s="47">
        <f t="shared" si="3"/>
        <v>388577</v>
      </c>
      <c r="P43" s="22"/>
    </row>
    <row r="44" ht="7.5" customHeight="1">
      <c r="A44" s="22"/>
      <c r="P44" s="22"/>
    </row>
    <row r="45" ht="36.0" customHeight="1">
      <c r="A45" s="22"/>
      <c r="B45" s="50" t="s">
        <v>42</v>
      </c>
      <c r="C45" s="51">
        <f t="shared" ref="C45:O45" si="5">C7-C43</f>
        <v>900000</v>
      </c>
      <c r="D45" s="51">
        <f t="shared" si="5"/>
        <v>900000</v>
      </c>
      <c r="E45" s="51">
        <f t="shared" si="5"/>
        <v>0</v>
      </c>
      <c r="F45" s="57">
        <f t="shared" si="5"/>
        <v>0</v>
      </c>
      <c r="G45" s="52">
        <f t="shared" si="5"/>
        <v>-188577</v>
      </c>
      <c r="H45" s="52">
        <f t="shared" si="5"/>
        <v>0</v>
      </c>
      <c r="I45" s="55">
        <f t="shared" si="5"/>
        <v>0</v>
      </c>
      <c r="J45" s="53">
        <f t="shared" si="5"/>
        <v>0</v>
      </c>
      <c r="K45" s="53">
        <f t="shared" si="5"/>
        <v>0</v>
      </c>
      <c r="L45" s="54">
        <f t="shared" si="5"/>
        <v>0</v>
      </c>
      <c r="M45" s="56">
        <f t="shared" si="5"/>
        <v>0</v>
      </c>
      <c r="N45" s="58">
        <f t="shared" si="5"/>
        <v>0</v>
      </c>
      <c r="O45" s="59">
        <f t="shared" si="5"/>
        <v>1611423</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86D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92</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6262"/>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93</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94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94</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891D"/>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95</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86D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96</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6262"/>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97</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94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36.0"/>
    <col customWidth="1" min="3" max="15" width="11.67"/>
    <col customWidth="1" min="16" max="16" width="2.33"/>
    <col customWidth="1" min="17" max="26" width="8.56"/>
  </cols>
  <sheetData>
    <row r="1" ht="42.0" customHeight="1">
      <c r="A1" s="1" t="s">
        <v>0</v>
      </c>
      <c r="B1" s="70" t="s">
        <v>70</v>
      </c>
      <c r="C1" s="3"/>
      <c r="D1" s="3"/>
      <c r="E1" s="3"/>
      <c r="F1" s="5"/>
      <c r="G1" s="6"/>
      <c r="H1" s="6"/>
      <c r="I1" s="6"/>
      <c r="J1" s="1"/>
      <c r="K1" s="1"/>
      <c r="L1" s="1"/>
      <c r="M1" s="1"/>
      <c r="N1" s="1"/>
      <c r="O1" s="1"/>
      <c r="P1" s="1"/>
      <c r="Q1" s="1"/>
      <c r="R1" s="1"/>
      <c r="S1" s="1"/>
      <c r="T1" s="1"/>
      <c r="U1" s="1"/>
      <c r="V1" s="1"/>
      <c r="W1" s="1"/>
      <c r="X1" s="1"/>
      <c r="Y1" s="1"/>
      <c r="Z1" s="1"/>
    </row>
    <row r="2" ht="31.5" customHeight="1">
      <c r="A2" s="1"/>
      <c r="B2" s="8" t="s">
        <v>98</v>
      </c>
      <c r="C2" s="72" t="s">
        <v>72</v>
      </c>
      <c r="D2" s="73"/>
      <c r="E2" s="73"/>
      <c r="F2" s="73"/>
      <c r="G2" s="73"/>
      <c r="H2" s="73"/>
      <c r="I2" s="73"/>
      <c r="J2" s="73"/>
      <c r="K2" s="73"/>
      <c r="L2" s="73"/>
      <c r="M2" s="73"/>
      <c r="N2" s="73"/>
      <c r="O2" s="73"/>
      <c r="P2" s="1"/>
      <c r="Q2" s="1"/>
      <c r="R2" s="1"/>
      <c r="S2" s="1"/>
      <c r="T2" s="1"/>
      <c r="U2" s="1"/>
      <c r="V2" s="1"/>
      <c r="W2" s="1"/>
      <c r="X2" s="1"/>
      <c r="Y2" s="1"/>
      <c r="Z2" s="1"/>
    </row>
    <row r="3" ht="24.0" customHeight="1">
      <c r="A3" s="10"/>
      <c r="B3" s="11" t="s">
        <v>4</v>
      </c>
      <c r="C3" s="19" t="s">
        <v>73</v>
      </c>
      <c r="D3" s="19" t="s">
        <v>74</v>
      </c>
      <c r="E3" s="19" t="s">
        <v>75</v>
      </c>
      <c r="F3" s="74" t="s">
        <v>76</v>
      </c>
      <c r="G3" s="16" t="s">
        <v>77</v>
      </c>
      <c r="H3" s="16" t="s">
        <v>78</v>
      </c>
      <c r="I3" s="75" t="s">
        <v>79</v>
      </c>
      <c r="J3" s="17" t="s">
        <v>80</v>
      </c>
      <c r="K3" s="17" t="s">
        <v>85</v>
      </c>
      <c r="L3" s="77" t="s">
        <v>81</v>
      </c>
      <c r="M3" s="18" t="s">
        <v>82</v>
      </c>
      <c r="N3" s="20" t="s">
        <v>83</v>
      </c>
      <c r="O3" s="21" t="s">
        <v>84</v>
      </c>
      <c r="P3" s="10"/>
      <c r="Q3" s="10"/>
      <c r="R3" s="10"/>
      <c r="S3" s="10"/>
      <c r="T3" s="10"/>
      <c r="U3" s="10"/>
      <c r="V3" s="10"/>
      <c r="W3" s="10"/>
      <c r="X3" s="10"/>
      <c r="Y3" s="10"/>
      <c r="Z3" s="10"/>
    </row>
    <row r="4" ht="18.0" customHeight="1">
      <c r="A4" s="22"/>
      <c r="B4" s="23" t="s">
        <v>11</v>
      </c>
      <c r="C4" s="24"/>
      <c r="D4" s="24"/>
      <c r="E4" s="24"/>
      <c r="F4" s="25"/>
      <c r="G4" s="24"/>
      <c r="H4" s="24"/>
      <c r="I4" s="25"/>
      <c r="J4" s="24"/>
      <c r="K4" s="24"/>
      <c r="L4" s="25"/>
      <c r="M4" s="24"/>
      <c r="N4" s="26"/>
      <c r="O4" s="27"/>
      <c r="P4" s="22"/>
    </row>
    <row r="5" ht="18.0" customHeight="1">
      <c r="A5" s="22"/>
      <c r="B5" s="28" t="str">
        <f>'Property Management Overview'!B5</f>
        <v>RENTAL INCOME</v>
      </c>
      <c r="C5" s="29">
        <v>0.0</v>
      </c>
      <c r="D5" s="29">
        <v>0.0</v>
      </c>
      <c r="E5" s="29">
        <v>0.0</v>
      </c>
      <c r="F5" s="35">
        <v>0.0</v>
      </c>
      <c r="G5" s="30">
        <v>0.0</v>
      </c>
      <c r="H5" s="30">
        <v>0.0</v>
      </c>
      <c r="I5" s="33">
        <v>0.0</v>
      </c>
      <c r="J5" s="31">
        <v>0.0</v>
      </c>
      <c r="K5" s="31">
        <v>0.0</v>
      </c>
      <c r="L5" s="32">
        <v>0.0</v>
      </c>
      <c r="M5" s="34">
        <v>0.0</v>
      </c>
      <c r="N5" s="36">
        <v>0.0</v>
      </c>
      <c r="O5" s="37">
        <f t="shared" ref="O5:O7" si="1">SUM(C5:N5)</f>
        <v>0</v>
      </c>
      <c r="P5" s="22"/>
    </row>
    <row r="6" ht="18.0" customHeight="1">
      <c r="A6" s="22"/>
      <c r="B6" s="28" t="str">
        <f>'Property Management Overview'!B6</f>
        <v>OTHER RENTAL INCOME  – Late Fees, Etc.</v>
      </c>
      <c r="C6" s="29">
        <v>0.0</v>
      </c>
      <c r="D6" s="29">
        <v>0.0</v>
      </c>
      <c r="E6" s="29">
        <v>0.0</v>
      </c>
      <c r="F6" s="35">
        <v>0.0</v>
      </c>
      <c r="G6" s="30">
        <v>0.0</v>
      </c>
      <c r="H6" s="30">
        <v>0.0</v>
      </c>
      <c r="I6" s="33">
        <v>0.0</v>
      </c>
      <c r="J6" s="31">
        <v>0.0</v>
      </c>
      <c r="K6" s="31">
        <v>0.0</v>
      </c>
      <c r="L6" s="32">
        <v>0.0</v>
      </c>
      <c r="M6" s="34">
        <v>0.0</v>
      </c>
      <c r="N6" s="36">
        <v>0.0</v>
      </c>
      <c r="O6" s="37">
        <f t="shared" si="1"/>
        <v>0</v>
      </c>
      <c r="P6" s="22"/>
    </row>
    <row r="7" ht="21.75" customHeight="1">
      <c r="A7" s="22"/>
      <c r="B7" s="38" t="s">
        <v>14</v>
      </c>
      <c r="C7" s="39">
        <f t="shared" ref="C7:N7" si="2">SUM(C5:C6)</f>
        <v>0</v>
      </c>
      <c r="D7" s="39">
        <f t="shared" si="2"/>
        <v>0</v>
      </c>
      <c r="E7" s="39">
        <f t="shared" si="2"/>
        <v>0</v>
      </c>
      <c r="F7" s="45">
        <f t="shared" si="2"/>
        <v>0</v>
      </c>
      <c r="G7" s="40">
        <f t="shared" si="2"/>
        <v>0</v>
      </c>
      <c r="H7" s="40">
        <f t="shared" si="2"/>
        <v>0</v>
      </c>
      <c r="I7" s="43">
        <f t="shared" si="2"/>
        <v>0</v>
      </c>
      <c r="J7" s="41">
        <f t="shared" si="2"/>
        <v>0</v>
      </c>
      <c r="K7" s="41">
        <f t="shared" si="2"/>
        <v>0</v>
      </c>
      <c r="L7" s="42">
        <f t="shared" si="2"/>
        <v>0</v>
      </c>
      <c r="M7" s="44">
        <f t="shared" si="2"/>
        <v>0</v>
      </c>
      <c r="N7" s="46">
        <f t="shared" si="2"/>
        <v>0</v>
      </c>
      <c r="O7" s="47">
        <f t="shared" si="1"/>
        <v>0</v>
      </c>
      <c r="P7" s="22"/>
    </row>
    <row r="8" ht="10.5" customHeight="1">
      <c r="A8" s="22"/>
      <c r="P8" s="22"/>
    </row>
    <row r="9" ht="24.0" customHeight="1">
      <c r="A9" s="10"/>
      <c r="B9" s="11" t="s">
        <v>15</v>
      </c>
      <c r="C9" s="19" t="s">
        <v>73</v>
      </c>
      <c r="D9" s="19" t="s">
        <v>74</v>
      </c>
      <c r="E9" s="19" t="s">
        <v>75</v>
      </c>
      <c r="F9" s="74" t="s">
        <v>76</v>
      </c>
      <c r="G9" s="16" t="s">
        <v>77</v>
      </c>
      <c r="H9" s="16" t="s">
        <v>78</v>
      </c>
      <c r="I9" s="75" t="s">
        <v>79</v>
      </c>
      <c r="J9" s="17" t="s">
        <v>80</v>
      </c>
      <c r="K9" s="17" t="s">
        <v>85</v>
      </c>
      <c r="L9" s="77" t="s">
        <v>81</v>
      </c>
      <c r="M9" s="18" t="s">
        <v>82</v>
      </c>
      <c r="N9" s="20" t="s">
        <v>83</v>
      </c>
      <c r="O9" s="21" t="s">
        <v>84</v>
      </c>
      <c r="P9" s="10"/>
      <c r="Q9" s="10"/>
      <c r="R9" s="10"/>
      <c r="S9" s="10"/>
      <c r="T9" s="10"/>
      <c r="U9" s="10"/>
      <c r="V9" s="10"/>
      <c r="W9" s="10"/>
      <c r="X9" s="10"/>
      <c r="Y9" s="10"/>
      <c r="Z9" s="10"/>
    </row>
    <row r="10" ht="18.0" customHeight="1">
      <c r="A10" s="22"/>
      <c r="B10" s="23" t="str">
        <f>'Property Management Overview'!B10</f>
        <v>MULTI-PROPERTY EXPENSES OVERVIEW</v>
      </c>
      <c r="C10" s="24"/>
      <c r="D10" s="24"/>
      <c r="E10" s="24"/>
      <c r="F10" s="25"/>
      <c r="G10" s="24"/>
      <c r="H10" s="24"/>
      <c r="I10" s="25"/>
      <c r="J10" s="24"/>
      <c r="K10" s="24"/>
      <c r="L10" s="25"/>
      <c r="M10" s="24"/>
      <c r="N10" s="26"/>
      <c r="O10" s="27"/>
      <c r="P10" s="22"/>
    </row>
    <row r="11" ht="18.0" customHeight="1">
      <c r="A11" s="22"/>
      <c r="B11" s="28" t="str">
        <f>'Property Management Overview'!B11</f>
        <v>MARKETING / ADVERTISING</v>
      </c>
      <c r="C11" s="29">
        <v>0.0</v>
      </c>
      <c r="D11" s="29">
        <v>0.0</v>
      </c>
      <c r="E11" s="29">
        <v>0.0</v>
      </c>
      <c r="F11" s="35">
        <v>0.0</v>
      </c>
      <c r="G11" s="30">
        <v>0.0</v>
      </c>
      <c r="H11" s="30">
        <v>0.0</v>
      </c>
      <c r="I11" s="33">
        <v>0.0</v>
      </c>
      <c r="J11" s="31">
        <v>0.0</v>
      </c>
      <c r="K11" s="31">
        <v>0.0</v>
      </c>
      <c r="L11" s="32">
        <v>0.0</v>
      </c>
      <c r="M11" s="34">
        <v>0.0</v>
      </c>
      <c r="N11" s="36">
        <v>0.0</v>
      </c>
      <c r="O11" s="37">
        <f t="shared" ref="O11:O43" si="3">SUM(C11:N11)</f>
        <v>0</v>
      </c>
      <c r="P11" s="22"/>
    </row>
    <row r="12" ht="18.0" customHeight="1">
      <c r="A12" s="22"/>
      <c r="B12" s="28" t="str">
        <f>'Property Management Overview'!B12</f>
        <v>SERVICE CHARGE</v>
      </c>
      <c r="C12" s="29">
        <v>0.0</v>
      </c>
      <c r="D12" s="29">
        <v>0.0</v>
      </c>
      <c r="E12" s="29">
        <v>0.0</v>
      </c>
      <c r="F12" s="35">
        <v>0.0</v>
      </c>
      <c r="G12" s="30">
        <v>0.0</v>
      </c>
      <c r="H12" s="30">
        <v>0.0</v>
      </c>
      <c r="I12" s="33">
        <v>0.0</v>
      </c>
      <c r="J12" s="31">
        <v>0.0</v>
      </c>
      <c r="K12" s="31">
        <v>0.0</v>
      </c>
      <c r="L12" s="32">
        <v>0.0</v>
      </c>
      <c r="M12" s="34">
        <v>0.0</v>
      </c>
      <c r="N12" s="36">
        <v>0.0</v>
      </c>
      <c r="O12" s="37">
        <f t="shared" si="3"/>
        <v>0</v>
      </c>
      <c r="P12" s="22"/>
    </row>
    <row r="13" ht="18.0" customHeight="1">
      <c r="A13" s="22"/>
      <c r="B13" s="28" t="str">
        <f>'Property Management Overview'!B13</f>
        <v>AGENT FEES / COMMISSIONS</v>
      </c>
      <c r="C13" s="29">
        <v>0.0</v>
      </c>
      <c r="D13" s="29">
        <v>0.0</v>
      </c>
      <c r="E13" s="29">
        <v>0.0</v>
      </c>
      <c r="F13" s="35">
        <v>0.0</v>
      </c>
      <c r="G13" s="30">
        <v>0.0</v>
      </c>
      <c r="H13" s="30">
        <v>0.0</v>
      </c>
      <c r="I13" s="33">
        <v>0.0</v>
      </c>
      <c r="J13" s="31">
        <v>0.0</v>
      </c>
      <c r="K13" s="31">
        <v>0.0</v>
      </c>
      <c r="L13" s="32">
        <v>0.0</v>
      </c>
      <c r="M13" s="34">
        <v>0.0</v>
      </c>
      <c r="N13" s="36">
        <v>0.0</v>
      </c>
      <c r="O13" s="37">
        <f t="shared" si="3"/>
        <v>0</v>
      </c>
      <c r="P13" s="22"/>
    </row>
    <row r="14" ht="18.0" customHeight="1">
      <c r="A14" s="22"/>
      <c r="B14" s="28" t="str">
        <f>'Property Management Overview'!B23</f>
        <v>INSURANCE</v>
      </c>
      <c r="C14" s="29">
        <v>0.0</v>
      </c>
      <c r="D14" s="29">
        <v>0.0</v>
      </c>
      <c r="E14" s="29">
        <v>0.0</v>
      </c>
      <c r="F14" s="35">
        <v>0.0</v>
      </c>
      <c r="G14" s="30">
        <v>0.0</v>
      </c>
      <c r="H14" s="30">
        <v>0.0</v>
      </c>
      <c r="I14" s="33">
        <v>0.0</v>
      </c>
      <c r="J14" s="31">
        <v>0.0</v>
      </c>
      <c r="K14" s="31">
        <v>0.0</v>
      </c>
      <c r="L14" s="32">
        <v>0.0</v>
      </c>
      <c r="M14" s="34">
        <v>0.0</v>
      </c>
      <c r="N14" s="36">
        <v>0.0</v>
      </c>
      <c r="O14" s="37">
        <f t="shared" si="3"/>
        <v>0</v>
      </c>
      <c r="P14" s="22"/>
    </row>
    <row r="15" ht="18.0" customHeight="1">
      <c r="A15" s="22"/>
      <c r="B15" s="28" t="str">
        <f>'Property Management Overview'!B15</f>
        <v>INTERIOR MAINTENANCE</v>
      </c>
      <c r="C15" s="29">
        <v>0.0</v>
      </c>
      <c r="D15" s="29">
        <v>0.0</v>
      </c>
      <c r="E15" s="29">
        <v>0.0</v>
      </c>
      <c r="F15" s="35">
        <v>0.0</v>
      </c>
      <c r="G15" s="30">
        <v>0.0</v>
      </c>
      <c r="H15" s="30">
        <v>0.0</v>
      </c>
      <c r="I15" s="33">
        <v>0.0</v>
      </c>
      <c r="J15" s="31">
        <v>0.0</v>
      </c>
      <c r="K15" s="31">
        <v>0.0</v>
      </c>
      <c r="L15" s="32">
        <v>0.0</v>
      </c>
      <c r="M15" s="34">
        <v>0.0</v>
      </c>
      <c r="N15" s="36">
        <v>0.0</v>
      </c>
      <c r="O15" s="37">
        <f t="shared" si="3"/>
        <v>0</v>
      </c>
      <c r="P15" s="22"/>
    </row>
    <row r="16" ht="18.0" customHeight="1">
      <c r="A16" s="22"/>
      <c r="B16" s="28" t="str">
        <f>'Property Management Overview'!B16</f>
        <v>INTERIOR REPAIRS</v>
      </c>
      <c r="C16" s="29">
        <v>0.0</v>
      </c>
      <c r="D16" s="29">
        <v>0.0</v>
      </c>
      <c r="E16" s="29">
        <v>0.0</v>
      </c>
      <c r="F16" s="35">
        <v>0.0</v>
      </c>
      <c r="G16" s="30">
        <v>0.0</v>
      </c>
      <c r="H16" s="30">
        <v>0.0</v>
      </c>
      <c r="I16" s="33">
        <v>0.0</v>
      </c>
      <c r="J16" s="31">
        <v>0.0</v>
      </c>
      <c r="K16" s="31">
        <v>0.0</v>
      </c>
      <c r="L16" s="32">
        <v>0.0</v>
      </c>
      <c r="M16" s="34">
        <v>0.0</v>
      </c>
      <c r="N16" s="36">
        <v>0.0</v>
      </c>
      <c r="O16" s="37">
        <f t="shared" si="3"/>
        <v>0</v>
      </c>
      <c r="P16" s="22"/>
    </row>
    <row r="17" ht="18.0" customHeight="1">
      <c r="A17" s="22"/>
      <c r="B17" s="28" t="str">
        <f>'Property Management Overview'!B17</f>
        <v>HOUSEKEEPING</v>
      </c>
      <c r="C17" s="29">
        <v>0.0</v>
      </c>
      <c r="D17" s="29">
        <v>0.0</v>
      </c>
      <c r="E17" s="29">
        <v>0.0</v>
      </c>
      <c r="F17" s="35">
        <v>0.0</v>
      </c>
      <c r="G17" s="30">
        <v>0.0</v>
      </c>
      <c r="H17" s="30">
        <v>0.0</v>
      </c>
      <c r="I17" s="33">
        <v>0.0</v>
      </c>
      <c r="J17" s="31">
        <v>0.0</v>
      </c>
      <c r="K17" s="31">
        <v>0.0</v>
      </c>
      <c r="L17" s="32">
        <v>0.0</v>
      </c>
      <c r="M17" s="34">
        <v>0.0</v>
      </c>
      <c r="N17" s="36">
        <v>0.0</v>
      </c>
      <c r="O17" s="37">
        <f t="shared" si="3"/>
        <v>0</v>
      </c>
      <c r="P17" s="22"/>
    </row>
    <row r="18" ht="18.0" customHeight="1">
      <c r="A18" s="22"/>
      <c r="B18" s="28" t="str">
        <f>'Property Management Overview'!B18</f>
        <v>EXTERIOR MAINTENANCE</v>
      </c>
      <c r="C18" s="29">
        <v>0.0</v>
      </c>
      <c r="D18" s="29">
        <v>0.0</v>
      </c>
      <c r="E18" s="29">
        <v>0.0</v>
      </c>
      <c r="F18" s="35">
        <v>0.0</v>
      </c>
      <c r="G18" s="30">
        <v>0.0</v>
      </c>
      <c r="H18" s="30">
        <v>0.0</v>
      </c>
      <c r="I18" s="33">
        <v>0.0</v>
      </c>
      <c r="J18" s="31">
        <v>0.0</v>
      </c>
      <c r="K18" s="31">
        <v>0.0</v>
      </c>
      <c r="L18" s="32">
        <v>0.0</v>
      </c>
      <c r="M18" s="34">
        <v>0.0</v>
      </c>
      <c r="N18" s="36">
        <v>0.0</v>
      </c>
      <c r="O18" s="37">
        <f t="shared" si="3"/>
        <v>0</v>
      </c>
      <c r="P18" s="22"/>
    </row>
    <row r="19" ht="18.0" customHeight="1">
      <c r="A19" s="22"/>
      <c r="B19" s="28" t="str">
        <f>'Property Management Overview'!B19</f>
        <v>EXTERIOR REPAIRS</v>
      </c>
      <c r="C19" s="29">
        <v>0.0</v>
      </c>
      <c r="D19" s="29">
        <v>0.0</v>
      </c>
      <c r="E19" s="29">
        <v>0.0</v>
      </c>
      <c r="F19" s="35">
        <v>0.0</v>
      </c>
      <c r="G19" s="30">
        <v>0.0</v>
      </c>
      <c r="H19" s="30">
        <v>0.0</v>
      </c>
      <c r="I19" s="33">
        <v>0.0</v>
      </c>
      <c r="J19" s="31">
        <v>0.0</v>
      </c>
      <c r="K19" s="31">
        <v>0.0</v>
      </c>
      <c r="L19" s="32">
        <v>0.0</v>
      </c>
      <c r="M19" s="34">
        <v>0.0</v>
      </c>
      <c r="N19" s="36">
        <v>0.0</v>
      </c>
      <c r="O19" s="37">
        <f t="shared" si="3"/>
        <v>0</v>
      </c>
      <c r="P19" s="22"/>
    </row>
    <row r="20" ht="18.0" customHeight="1">
      <c r="A20" s="22"/>
      <c r="B20" s="28" t="str">
        <f>'Property Management Overview'!B20</f>
        <v>GROUNDSKEEPING</v>
      </c>
      <c r="C20" s="29">
        <v>0.0</v>
      </c>
      <c r="D20" s="29">
        <v>0.0</v>
      </c>
      <c r="E20" s="29">
        <v>0.0</v>
      </c>
      <c r="F20" s="35">
        <v>0.0</v>
      </c>
      <c r="G20" s="30">
        <v>0.0</v>
      </c>
      <c r="H20" s="30">
        <v>0.0</v>
      </c>
      <c r="I20" s="33">
        <v>0.0</v>
      </c>
      <c r="J20" s="31">
        <v>0.0</v>
      </c>
      <c r="K20" s="31">
        <v>0.0</v>
      </c>
      <c r="L20" s="32">
        <v>0.0</v>
      </c>
      <c r="M20" s="34">
        <v>0.0</v>
      </c>
      <c r="N20" s="36">
        <v>0.0</v>
      </c>
      <c r="O20" s="37">
        <f t="shared" si="3"/>
        <v>0</v>
      </c>
      <c r="P20" s="22"/>
    </row>
    <row r="21" ht="18.0" customHeight="1">
      <c r="A21" s="22"/>
      <c r="B21" s="28" t="str">
        <f>'Property Management Overview'!B14</f>
        <v>AIR+LISTRIK</v>
      </c>
      <c r="C21" s="29">
        <v>0.0</v>
      </c>
      <c r="D21" s="29">
        <v>0.0</v>
      </c>
      <c r="E21" s="29">
        <v>0.0</v>
      </c>
      <c r="F21" s="35">
        <v>0.0</v>
      </c>
      <c r="G21" s="30">
        <v>0.0</v>
      </c>
      <c r="H21" s="30">
        <v>0.0</v>
      </c>
      <c r="I21" s="33">
        <v>0.0</v>
      </c>
      <c r="J21" s="31">
        <v>0.0</v>
      </c>
      <c r="K21" s="31">
        <v>0.0</v>
      </c>
      <c r="L21" s="32">
        <v>0.0</v>
      </c>
      <c r="M21" s="34">
        <v>0.0</v>
      </c>
      <c r="N21" s="36">
        <v>0.0</v>
      </c>
      <c r="O21" s="37">
        <f t="shared" si="3"/>
        <v>0</v>
      </c>
      <c r="P21" s="22"/>
    </row>
    <row r="22" ht="18.0" customHeight="1">
      <c r="A22" s="22"/>
      <c r="B22" s="28" t="str">
        <f>'Property Management Overview'!B22</f>
        <v>GAS</v>
      </c>
      <c r="C22" s="29">
        <v>0.0</v>
      </c>
      <c r="D22" s="29">
        <v>0.0</v>
      </c>
      <c r="E22" s="29">
        <v>0.0</v>
      </c>
      <c r="F22" s="35">
        <v>0.0</v>
      </c>
      <c r="G22" s="30">
        <v>0.0</v>
      </c>
      <c r="H22" s="30">
        <v>0.0</v>
      </c>
      <c r="I22" s="33">
        <v>0.0</v>
      </c>
      <c r="J22" s="31">
        <v>0.0</v>
      </c>
      <c r="K22" s="31">
        <v>0.0</v>
      </c>
      <c r="L22" s="32">
        <v>0.0</v>
      </c>
      <c r="M22" s="34">
        <v>0.0</v>
      </c>
      <c r="N22" s="36">
        <v>0.0</v>
      </c>
      <c r="O22" s="37">
        <f t="shared" si="3"/>
        <v>0</v>
      </c>
      <c r="P22" s="22"/>
    </row>
    <row r="23" ht="18.0" customHeight="1">
      <c r="A23" s="22"/>
      <c r="B23" s="28" t="str">
        <f>#REF!</f>
        <v>#REF!</v>
      </c>
      <c r="C23" s="29">
        <v>0.0</v>
      </c>
      <c r="D23" s="29">
        <v>0.0</v>
      </c>
      <c r="E23" s="29">
        <v>0.0</v>
      </c>
      <c r="F23" s="35">
        <v>0.0</v>
      </c>
      <c r="G23" s="30">
        <v>0.0</v>
      </c>
      <c r="H23" s="30">
        <v>0.0</v>
      </c>
      <c r="I23" s="33">
        <v>0.0</v>
      </c>
      <c r="J23" s="31">
        <v>0.0</v>
      </c>
      <c r="K23" s="31">
        <v>0.0</v>
      </c>
      <c r="L23" s="32">
        <v>0.0</v>
      </c>
      <c r="M23" s="34">
        <v>0.0</v>
      </c>
      <c r="N23" s="36">
        <v>0.0</v>
      </c>
      <c r="O23" s="37">
        <f t="shared" si="3"/>
        <v>0</v>
      </c>
      <c r="P23" s="22"/>
    </row>
    <row r="24" ht="18.0" customHeight="1">
      <c r="A24" s="22"/>
      <c r="B24" s="28" t="str">
        <f>'Property Management Overview'!B24</f>
        <v>SEWAGE</v>
      </c>
      <c r="C24" s="29">
        <v>0.0</v>
      </c>
      <c r="D24" s="29">
        <v>0.0</v>
      </c>
      <c r="E24" s="29">
        <v>0.0</v>
      </c>
      <c r="F24" s="35">
        <v>0.0</v>
      </c>
      <c r="G24" s="30">
        <v>0.0</v>
      </c>
      <c r="H24" s="30">
        <v>0.0</v>
      </c>
      <c r="I24" s="33">
        <v>0.0</v>
      </c>
      <c r="J24" s="31">
        <v>0.0</v>
      </c>
      <c r="K24" s="31">
        <v>0.0</v>
      </c>
      <c r="L24" s="32">
        <v>0.0</v>
      </c>
      <c r="M24" s="34">
        <v>0.0</v>
      </c>
      <c r="N24" s="36">
        <v>0.0</v>
      </c>
      <c r="O24" s="37">
        <f t="shared" si="3"/>
        <v>0</v>
      </c>
      <c r="P24" s="22"/>
    </row>
    <row r="25" ht="18.0" customHeight="1">
      <c r="A25" s="22"/>
      <c r="B25" s="28" t="str">
        <f>'Property Management Overview'!B25</f>
        <v>REFUSE</v>
      </c>
      <c r="C25" s="29">
        <v>0.0</v>
      </c>
      <c r="D25" s="29">
        <v>0.0</v>
      </c>
      <c r="E25" s="29">
        <v>0.0</v>
      </c>
      <c r="F25" s="35">
        <v>0.0</v>
      </c>
      <c r="G25" s="30">
        <v>0.0</v>
      </c>
      <c r="H25" s="30">
        <v>0.0</v>
      </c>
      <c r="I25" s="33">
        <v>0.0</v>
      </c>
      <c r="J25" s="31">
        <v>0.0</v>
      </c>
      <c r="K25" s="31">
        <v>0.0</v>
      </c>
      <c r="L25" s="32">
        <v>0.0</v>
      </c>
      <c r="M25" s="34">
        <v>0.0</v>
      </c>
      <c r="N25" s="36">
        <v>0.0</v>
      </c>
      <c r="O25" s="37">
        <f t="shared" si="3"/>
        <v>0</v>
      </c>
      <c r="P25" s="22"/>
    </row>
    <row r="26" ht="18.0" customHeight="1">
      <c r="A26" s="22"/>
      <c r="B26" s="28" t="str">
        <f>'Property Management Overview'!B26</f>
        <v>CORRESPONDENCE - Postage, Stationery, Phone, Etc.</v>
      </c>
      <c r="C26" s="29">
        <v>0.0</v>
      </c>
      <c r="D26" s="29">
        <v>0.0</v>
      </c>
      <c r="E26" s="29">
        <v>0.0</v>
      </c>
      <c r="F26" s="35">
        <v>0.0</v>
      </c>
      <c r="G26" s="30">
        <v>0.0</v>
      </c>
      <c r="H26" s="30">
        <v>0.0</v>
      </c>
      <c r="I26" s="33">
        <v>0.0</v>
      </c>
      <c r="J26" s="31">
        <v>0.0</v>
      </c>
      <c r="K26" s="31">
        <v>0.0</v>
      </c>
      <c r="L26" s="32">
        <v>0.0</v>
      </c>
      <c r="M26" s="34">
        <v>0.0</v>
      </c>
      <c r="N26" s="36">
        <v>0.0</v>
      </c>
      <c r="O26" s="37">
        <f t="shared" si="3"/>
        <v>0</v>
      </c>
      <c r="P26" s="22"/>
    </row>
    <row r="27" ht="18.0" customHeight="1">
      <c r="A27" s="22"/>
      <c r="B27" s="28" t="str">
        <f>'Property Management Overview'!B27</f>
        <v>CARETAKER FEES / SALARY</v>
      </c>
      <c r="C27" s="29">
        <v>0.0</v>
      </c>
      <c r="D27" s="29">
        <v>0.0</v>
      </c>
      <c r="E27" s="29">
        <v>0.0</v>
      </c>
      <c r="F27" s="35">
        <v>0.0</v>
      </c>
      <c r="G27" s="30">
        <v>0.0</v>
      </c>
      <c r="H27" s="30">
        <v>0.0</v>
      </c>
      <c r="I27" s="33">
        <v>0.0</v>
      </c>
      <c r="J27" s="31">
        <v>0.0</v>
      </c>
      <c r="K27" s="31">
        <v>0.0</v>
      </c>
      <c r="L27" s="32">
        <v>0.0</v>
      </c>
      <c r="M27" s="34">
        <v>0.0</v>
      </c>
      <c r="N27" s="36">
        <v>0.0</v>
      </c>
      <c r="O27" s="37">
        <f t="shared" si="3"/>
        <v>0</v>
      </c>
      <c r="P27" s="22"/>
    </row>
    <row r="28" ht="18.0" customHeight="1">
      <c r="A28" s="22"/>
      <c r="B28" s="28" t="str">
        <f>'Property Management Overview'!B28</f>
        <v>TRAVEL EXPENSES</v>
      </c>
      <c r="C28" s="29">
        <v>0.0</v>
      </c>
      <c r="D28" s="29">
        <v>0.0</v>
      </c>
      <c r="E28" s="29">
        <v>0.0</v>
      </c>
      <c r="F28" s="35">
        <v>0.0</v>
      </c>
      <c r="G28" s="30">
        <v>0.0</v>
      </c>
      <c r="H28" s="30">
        <v>0.0</v>
      </c>
      <c r="I28" s="33">
        <v>0.0</v>
      </c>
      <c r="J28" s="31">
        <v>0.0</v>
      </c>
      <c r="K28" s="31">
        <v>0.0</v>
      </c>
      <c r="L28" s="32">
        <v>0.0</v>
      </c>
      <c r="M28" s="34">
        <v>0.0</v>
      </c>
      <c r="N28" s="36">
        <v>0.0</v>
      </c>
      <c r="O28" s="37">
        <f t="shared" si="3"/>
        <v>0</v>
      </c>
      <c r="P28" s="22"/>
    </row>
    <row r="29" ht="18.0" customHeight="1">
      <c r="A29" s="22"/>
      <c r="B29" s="28" t="str">
        <f>'Property Management Overview'!B29</f>
        <v>EQUIPMENT / APPLIANCE PURCHASES</v>
      </c>
      <c r="C29" s="29">
        <v>0.0</v>
      </c>
      <c r="D29" s="29">
        <v>0.0</v>
      </c>
      <c r="E29" s="29">
        <v>0.0</v>
      </c>
      <c r="F29" s="35">
        <v>0.0</v>
      </c>
      <c r="G29" s="30">
        <v>0.0</v>
      </c>
      <c r="H29" s="30">
        <v>0.0</v>
      </c>
      <c r="I29" s="33">
        <v>0.0</v>
      </c>
      <c r="J29" s="31">
        <v>0.0</v>
      </c>
      <c r="K29" s="31">
        <v>0.0</v>
      </c>
      <c r="L29" s="32">
        <v>0.0</v>
      </c>
      <c r="M29" s="34">
        <v>0.0</v>
      </c>
      <c r="N29" s="36">
        <v>0.0</v>
      </c>
      <c r="O29" s="37">
        <f t="shared" si="3"/>
        <v>0</v>
      </c>
      <c r="P29" s="22"/>
    </row>
    <row r="30" ht="18.0" customHeight="1">
      <c r="A30" s="22"/>
      <c r="B30" s="28" t="str">
        <f>'Property Management Overview'!B30</f>
        <v>EQUIPMENT / APPLIANCE RENTAL FEES</v>
      </c>
      <c r="C30" s="29">
        <v>0.0</v>
      </c>
      <c r="D30" s="29">
        <v>0.0</v>
      </c>
      <c r="E30" s="29">
        <v>0.0</v>
      </c>
      <c r="F30" s="35">
        <v>0.0</v>
      </c>
      <c r="G30" s="30">
        <v>0.0</v>
      </c>
      <c r="H30" s="30">
        <v>0.0</v>
      </c>
      <c r="I30" s="33">
        <v>0.0</v>
      </c>
      <c r="J30" s="31">
        <v>0.0</v>
      </c>
      <c r="K30" s="31">
        <v>0.0</v>
      </c>
      <c r="L30" s="32">
        <v>0.0</v>
      </c>
      <c r="M30" s="34">
        <v>0.0</v>
      </c>
      <c r="N30" s="36">
        <v>0.0</v>
      </c>
      <c r="O30" s="37">
        <f t="shared" si="3"/>
        <v>0</v>
      </c>
      <c r="P30" s="22"/>
    </row>
    <row r="31" ht="18.0" customHeight="1">
      <c r="A31" s="22"/>
      <c r="B31" s="28" t="str">
        <f>'Property Management Overview'!B31</f>
        <v>LAND TAX</v>
      </c>
      <c r="C31" s="29">
        <v>0.0</v>
      </c>
      <c r="D31" s="29">
        <v>0.0</v>
      </c>
      <c r="E31" s="29">
        <v>0.0</v>
      </c>
      <c r="F31" s="35">
        <v>0.0</v>
      </c>
      <c r="G31" s="30">
        <v>0.0</v>
      </c>
      <c r="H31" s="30">
        <v>0.0</v>
      </c>
      <c r="I31" s="33">
        <v>0.0</v>
      </c>
      <c r="J31" s="31">
        <v>0.0</v>
      </c>
      <c r="K31" s="31">
        <v>0.0</v>
      </c>
      <c r="L31" s="32">
        <v>0.0</v>
      </c>
      <c r="M31" s="34">
        <v>0.0</v>
      </c>
      <c r="N31" s="36">
        <v>0.0</v>
      </c>
      <c r="O31" s="37">
        <f t="shared" si="3"/>
        <v>0</v>
      </c>
      <c r="P31" s="22"/>
    </row>
    <row r="32" ht="18.0" customHeight="1">
      <c r="A32" s="22"/>
      <c r="B32" s="28" t="str">
        <f>'Property Management Overview'!B32</f>
        <v>BORROWING EXPENSES</v>
      </c>
      <c r="C32" s="29">
        <v>0.0</v>
      </c>
      <c r="D32" s="29">
        <v>0.0</v>
      </c>
      <c r="E32" s="29">
        <v>0.0</v>
      </c>
      <c r="F32" s="35">
        <v>0.0</v>
      </c>
      <c r="G32" s="30">
        <v>0.0</v>
      </c>
      <c r="H32" s="30">
        <v>0.0</v>
      </c>
      <c r="I32" s="33">
        <v>0.0</v>
      </c>
      <c r="J32" s="31">
        <v>0.0</v>
      </c>
      <c r="K32" s="31">
        <v>0.0</v>
      </c>
      <c r="L32" s="32">
        <v>0.0</v>
      </c>
      <c r="M32" s="34">
        <v>0.0</v>
      </c>
      <c r="N32" s="36">
        <v>0.0</v>
      </c>
      <c r="O32" s="37">
        <f t="shared" si="3"/>
        <v>0</v>
      </c>
      <c r="P32" s="22"/>
    </row>
    <row r="33" ht="18.0" customHeight="1">
      <c r="A33" s="22"/>
      <c r="B33" s="28" t="str">
        <f>'Property Management Overview'!B33</f>
        <v>LOAN(S) INTEREST</v>
      </c>
      <c r="C33" s="29">
        <v>0.0</v>
      </c>
      <c r="D33" s="29">
        <v>0.0</v>
      </c>
      <c r="E33" s="29">
        <v>0.0</v>
      </c>
      <c r="F33" s="35">
        <v>0.0</v>
      </c>
      <c r="G33" s="30">
        <v>0.0</v>
      </c>
      <c r="H33" s="30">
        <v>0.0</v>
      </c>
      <c r="I33" s="33">
        <v>0.0</v>
      </c>
      <c r="J33" s="31">
        <v>0.0</v>
      </c>
      <c r="K33" s="31">
        <v>0.0</v>
      </c>
      <c r="L33" s="32">
        <v>0.0</v>
      </c>
      <c r="M33" s="34">
        <v>0.0</v>
      </c>
      <c r="N33" s="36">
        <v>0.0</v>
      </c>
      <c r="O33" s="37">
        <f t="shared" si="3"/>
        <v>0</v>
      </c>
      <c r="P33" s="22"/>
    </row>
    <row r="34" ht="18.0" customHeight="1">
      <c r="A34" s="22"/>
      <c r="B34" s="28" t="str">
        <f>'Property Management Overview'!B34</f>
        <v>TRAVEL EXPENSES</v>
      </c>
      <c r="C34" s="29">
        <v>0.0</v>
      </c>
      <c r="D34" s="29">
        <v>0.0</v>
      </c>
      <c r="E34" s="29">
        <v>0.0</v>
      </c>
      <c r="F34" s="35">
        <v>0.0</v>
      </c>
      <c r="G34" s="30">
        <v>0.0</v>
      </c>
      <c r="H34" s="30">
        <v>0.0</v>
      </c>
      <c r="I34" s="33">
        <v>0.0</v>
      </c>
      <c r="J34" s="31">
        <v>0.0</v>
      </c>
      <c r="K34" s="31">
        <v>0.0</v>
      </c>
      <c r="L34" s="32">
        <v>0.0</v>
      </c>
      <c r="M34" s="34">
        <v>0.0</v>
      </c>
      <c r="N34" s="36">
        <v>0.0</v>
      </c>
      <c r="O34" s="37">
        <f t="shared" si="3"/>
        <v>0</v>
      </c>
      <c r="P34" s="22"/>
    </row>
    <row r="35" ht="18.0" customHeight="1">
      <c r="A35" s="22"/>
      <c r="B35" s="28" t="str">
        <f>'Property Management Overview'!B35</f>
        <v>OTHER</v>
      </c>
      <c r="C35" s="29">
        <v>0.0</v>
      </c>
      <c r="D35" s="29">
        <v>0.0</v>
      </c>
      <c r="E35" s="29">
        <v>0.0</v>
      </c>
      <c r="F35" s="35">
        <v>0.0</v>
      </c>
      <c r="G35" s="30">
        <v>0.0</v>
      </c>
      <c r="H35" s="30">
        <v>0.0</v>
      </c>
      <c r="I35" s="33">
        <v>0.0</v>
      </c>
      <c r="J35" s="31">
        <v>0.0</v>
      </c>
      <c r="K35" s="31">
        <v>0.0</v>
      </c>
      <c r="L35" s="32">
        <v>0.0</v>
      </c>
      <c r="M35" s="34">
        <v>0.0</v>
      </c>
      <c r="N35" s="36">
        <v>0.0</v>
      </c>
      <c r="O35" s="37">
        <f t="shared" si="3"/>
        <v>0</v>
      </c>
      <c r="P35" s="22"/>
    </row>
    <row r="36" ht="18.0" customHeight="1">
      <c r="A36" s="22"/>
      <c r="B36" s="28" t="str">
        <f>'Property Management Overview'!B36</f>
        <v>OTHER</v>
      </c>
      <c r="C36" s="29">
        <v>0.0</v>
      </c>
      <c r="D36" s="29">
        <v>0.0</v>
      </c>
      <c r="E36" s="29">
        <v>0.0</v>
      </c>
      <c r="F36" s="35">
        <v>0.0</v>
      </c>
      <c r="G36" s="30">
        <v>0.0</v>
      </c>
      <c r="H36" s="30">
        <v>0.0</v>
      </c>
      <c r="I36" s="33">
        <v>0.0</v>
      </c>
      <c r="J36" s="31">
        <v>0.0</v>
      </c>
      <c r="K36" s="31">
        <v>0.0</v>
      </c>
      <c r="L36" s="32">
        <v>0.0</v>
      </c>
      <c r="M36" s="34">
        <v>0.0</v>
      </c>
      <c r="N36" s="36">
        <v>0.0</v>
      </c>
      <c r="O36" s="37">
        <f t="shared" si="3"/>
        <v>0</v>
      </c>
      <c r="P36" s="22"/>
    </row>
    <row r="37" ht="18.0" customHeight="1">
      <c r="A37" s="22"/>
      <c r="B37" s="28" t="str">
        <f>'Property Management Overview'!B37</f>
        <v>OTHER</v>
      </c>
      <c r="C37" s="29">
        <v>0.0</v>
      </c>
      <c r="D37" s="29">
        <v>0.0</v>
      </c>
      <c r="E37" s="29">
        <v>0.0</v>
      </c>
      <c r="F37" s="35">
        <v>0.0</v>
      </c>
      <c r="G37" s="30">
        <v>0.0</v>
      </c>
      <c r="H37" s="30">
        <v>0.0</v>
      </c>
      <c r="I37" s="33">
        <v>0.0</v>
      </c>
      <c r="J37" s="31">
        <v>0.0</v>
      </c>
      <c r="K37" s="31">
        <v>0.0</v>
      </c>
      <c r="L37" s="32">
        <v>0.0</v>
      </c>
      <c r="M37" s="34">
        <v>0.0</v>
      </c>
      <c r="N37" s="36">
        <v>0.0</v>
      </c>
      <c r="O37" s="37">
        <f t="shared" si="3"/>
        <v>0</v>
      </c>
      <c r="P37" s="22"/>
    </row>
    <row r="38" ht="18.0" customHeight="1">
      <c r="A38" s="22"/>
      <c r="B38" s="28" t="str">
        <f>'Property Management Overview'!B38</f>
        <v>OTHER</v>
      </c>
      <c r="C38" s="29">
        <v>0.0</v>
      </c>
      <c r="D38" s="29">
        <v>0.0</v>
      </c>
      <c r="E38" s="29">
        <v>0.0</v>
      </c>
      <c r="F38" s="35">
        <v>0.0</v>
      </c>
      <c r="G38" s="30">
        <v>0.0</v>
      </c>
      <c r="H38" s="30">
        <v>0.0</v>
      </c>
      <c r="I38" s="33">
        <v>0.0</v>
      </c>
      <c r="J38" s="31">
        <v>0.0</v>
      </c>
      <c r="K38" s="31">
        <v>0.0</v>
      </c>
      <c r="L38" s="32">
        <v>0.0</v>
      </c>
      <c r="M38" s="34">
        <v>0.0</v>
      </c>
      <c r="N38" s="36">
        <v>0.0</v>
      </c>
      <c r="O38" s="37">
        <f t="shared" si="3"/>
        <v>0</v>
      </c>
      <c r="P38" s="22"/>
    </row>
    <row r="39" ht="18.0" customHeight="1">
      <c r="A39" s="22"/>
      <c r="B39" s="28" t="str">
        <f>'Property Management Overview'!B39</f>
        <v>OTHER</v>
      </c>
      <c r="C39" s="29">
        <v>0.0</v>
      </c>
      <c r="D39" s="29">
        <v>0.0</v>
      </c>
      <c r="E39" s="29">
        <v>0.0</v>
      </c>
      <c r="F39" s="35">
        <v>0.0</v>
      </c>
      <c r="G39" s="30">
        <v>0.0</v>
      </c>
      <c r="H39" s="30">
        <v>0.0</v>
      </c>
      <c r="I39" s="33">
        <v>0.0</v>
      </c>
      <c r="J39" s="31">
        <v>0.0</v>
      </c>
      <c r="K39" s="31">
        <v>0.0</v>
      </c>
      <c r="L39" s="32">
        <v>0.0</v>
      </c>
      <c r="M39" s="34">
        <v>0.0</v>
      </c>
      <c r="N39" s="36">
        <v>0.0</v>
      </c>
      <c r="O39" s="37">
        <f t="shared" si="3"/>
        <v>0</v>
      </c>
      <c r="P39" s="22"/>
    </row>
    <row r="40" ht="18.0" customHeight="1">
      <c r="A40" s="22"/>
      <c r="B40" s="28" t="str">
        <f>'Property Management Overview'!B40</f>
        <v>OTHER</v>
      </c>
      <c r="C40" s="29">
        <v>0.0</v>
      </c>
      <c r="D40" s="29">
        <v>0.0</v>
      </c>
      <c r="E40" s="29">
        <v>0.0</v>
      </c>
      <c r="F40" s="35">
        <v>0.0</v>
      </c>
      <c r="G40" s="30">
        <v>0.0</v>
      </c>
      <c r="H40" s="30">
        <v>0.0</v>
      </c>
      <c r="I40" s="33">
        <v>0.0</v>
      </c>
      <c r="J40" s="31">
        <v>0.0</v>
      </c>
      <c r="K40" s="31">
        <v>0.0</v>
      </c>
      <c r="L40" s="32">
        <v>0.0</v>
      </c>
      <c r="M40" s="34">
        <v>0.0</v>
      </c>
      <c r="N40" s="36">
        <v>0.0</v>
      </c>
      <c r="O40" s="37">
        <f t="shared" si="3"/>
        <v>0</v>
      </c>
      <c r="P40" s="22"/>
    </row>
    <row r="41" ht="18.0" customHeight="1">
      <c r="A41" s="22"/>
      <c r="B41" s="28" t="str">
        <f>'Property Management Overview'!B41</f>
        <v>OTHER</v>
      </c>
      <c r="C41" s="29">
        <v>0.0</v>
      </c>
      <c r="D41" s="29">
        <v>0.0</v>
      </c>
      <c r="E41" s="29">
        <v>0.0</v>
      </c>
      <c r="F41" s="35">
        <v>0.0</v>
      </c>
      <c r="G41" s="30">
        <v>0.0</v>
      </c>
      <c r="H41" s="30">
        <v>0.0</v>
      </c>
      <c r="I41" s="33">
        <v>0.0</v>
      </c>
      <c r="J41" s="31">
        <v>0.0</v>
      </c>
      <c r="K41" s="31">
        <v>0.0</v>
      </c>
      <c r="L41" s="32">
        <v>0.0</v>
      </c>
      <c r="M41" s="34">
        <v>0.0</v>
      </c>
      <c r="N41" s="36">
        <v>0.0</v>
      </c>
      <c r="O41" s="37">
        <f t="shared" si="3"/>
        <v>0</v>
      </c>
      <c r="P41" s="22"/>
    </row>
    <row r="42" ht="18.0" customHeight="1">
      <c r="A42" s="22"/>
      <c r="B42" s="28" t="str">
        <f>'Property Management Overview'!B42</f>
        <v>OTHER</v>
      </c>
      <c r="C42" s="29">
        <v>0.0</v>
      </c>
      <c r="D42" s="29">
        <v>0.0</v>
      </c>
      <c r="E42" s="29">
        <v>0.0</v>
      </c>
      <c r="F42" s="35">
        <v>0.0</v>
      </c>
      <c r="G42" s="30">
        <v>0.0</v>
      </c>
      <c r="H42" s="30">
        <v>0.0</v>
      </c>
      <c r="I42" s="33">
        <v>0.0</v>
      </c>
      <c r="J42" s="31">
        <v>0.0</v>
      </c>
      <c r="K42" s="31">
        <v>0.0</v>
      </c>
      <c r="L42" s="32">
        <v>0.0</v>
      </c>
      <c r="M42" s="34">
        <v>0.0</v>
      </c>
      <c r="N42" s="36">
        <v>0.0</v>
      </c>
      <c r="O42" s="37">
        <f t="shared" si="3"/>
        <v>0</v>
      </c>
      <c r="P42" s="22"/>
    </row>
    <row r="43" ht="21.75" customHeight="1">
      <c r="A43" s="22"/>
      <c r="B43" s="38" t="s">
        <v>41</v>
      </c>
      <c r="C43" s="39">
        <f t="shared" ref="C43:N43" si="4">SUM(C11:C42)</f>
        <v>0</v>
      </c>
      <c r="D43" s="39">
        <f t="shared" si="4"/>
        <v>0</v>
      </c>
      <c r="E43" s="39">
        <f t="shared" si="4"/>
        <v>0</v>
      </c>
      <c r="F43" s="45">
        <f t="shared" si="4"/>
        <v>0</v>
      </c>
      <c r="G43" s="40">
        <f t="shared" si="4"/>
        <v>0</v>
      </c>
      <c r="H43" s="40">
        <f t="shared" si="4"/>
        <v>0</v>
      </c>
      <c r="I43" s="43">
        <f t="shared" si="4"/>
        <v>0</v>
      </c>
      <c r="J43" s="41">
        <f t="shared" si="4"/>
        <v>0</v>
      </c>
      <c r="K43" s="41">
        <f t="shared" si="4"/>
        <v>0</v>
      </c>
      <c r="L43" s="42">
        <f t="shared" si="4"/>
        <v>0</v>
      </c>
      <c r="M43" s="44">
        <f t="shared" si="4"/>
        <v>0</v>
      </c>
      <c r="N43" s="46">
        <f t="shared" si="4"/>
        <v>0</v>
      </c>
      <c r="O43" s="47">
        <f t="shared" si="3"/>
        <v>0</v>
      </c>
      <c r="P43" s="22"/>
    </row>
    <row r="44" ht="7.5" customHeight="1">
      <c r="A44" s="22"/>
      <c r="P44" s="22"/>
    </row>
    <row r="45" ht="36.0" customHeight="1">
      <c r="A45" s="22"/>
      <c r="B45" s="50" t="s">
        <v>42</v>
      </c>
      <c r="C45" s="51">
        <f t="shared" ref="C45:O45" si="5">C7-C43</f>
        <v>0</v>
      </c>
      <c r="D45" s="51">
        <f t="shared" si="5"/>
        <v>0</v>
      </c>
      <c r="E45" s="51">
        <f t="shared" si="5"/>
        <v>0</v>
      </c>
      <c r="F45" s="57">
        <f t="shared" si="5"/>
        <v>0</v>
      </c>
      <c r="G45" s="52">
        <f t="shared" si="5"/>
        <v>0</v>
      </c>
      <c r="H45" s="52">
        <f t="shared" si="5"/>
        <v>0</v>
      </c>
      <c r="I45" s="55">
        <f t="shared" si="5"/>
        <v>0</v>
      </c>
      <c r="J45" s="53">
        <f t="shared" si="5"/>
        <v>0</v>
      </c>
      <c r="K45" s="53">
        <f t="shared" si="5"/>
        <v>0</v>
      </c>
      <c r="L45" s="54">
        <f t="shared" si="5"/>
        <v>0</v>
      </c>
      <c r="M45" s="56">
        <f t="shared" si="5"/>
        <v>0</v>
      </c>
      <c r="N45" s="58">
        <f t="shared" si="5"/>
        <v>0</v>
      </c>
      <c r="O45" s="59">
        <f t="shared" si="5"/>
        <v>0</v>
      </c>
      <c r="P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1">
    <mergeCell ref="C2:O2"/>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2.56"/>
    <col customWidth="1" min="2" max="2" width="68.67"/>
    <col customWidth="1" min="3" max="26" width="8.44"/>
  </cols>
  <sheetData>
    <row r="1" ht="19.5" customHeight="1">
      <c r="A1" s="91"/>
      <c r="B1" s="91"/>
      <c r="C1" s="91"/>
      <c r="D1" s="91"/>
      <c r="E1" s="91"/>
      <c r="F1" s="91"/>
      <c r="G1" s="91"/>
      <c r="H1" s="91"/>
      <c r="I1" s="91"/>
      <c r="J1" s="91"/>
      <c r="K1" s="91"/>
      <c r="L1" s="91"/>
      <c r="M1" s="91"/>
      <c r="N1" s="91"/>
      <c r="O1" s="91"/>
      <c r="P1" s="91"/>
      <c r="Q1" s="91"/>
      <c r="R1" s="91"/>
      <c r="S1" s="91"/>
      <c r="T1" s="91"/>
      <c r="U1" s="91"/>
      <c r="V1" s="91"/>
      <c r="W1" s="91"/>
      <c r="X1" s="91"/>
      <c r="Y1" s="91"/>
      <c r="Z1" s="91"/>
    </row>
    <row r="2" ht="105.0" customHeight="1">
      <c r="A2" s="91"/>
      <c r="B2" s="92" t="s">
        <v>99</v>
      </c>
      <c r="C2" s="91"/>
      <c r="D2" s="91"/>
      <c r="E2" s="91"/>
      <c r="F2" s="91"/>
      <c r="G2" s="91"/>
      <c r="H2" s="91"/>
      <c r="I2" s="91"/>
      <c r="J2" s="91"/>
      <c r="K2" s="91"/>
      <c r="L2" s="91"/>
      <c r="M2" s="91"/>
      <c r="N2" s="91"/>
      <c r="O2" s="91"/>
      <c r="P2" s="91"/>
      <c r="Q2" s="91"/>
      <c r="R2" s="91"/>
      <c r="S2" s="91"/>
      <c r="T2" s="91"/>
      <c r="U2" s="91"/>
      <c r="V2" s="91"/>
      <c r="W2" s="91"/>
      <c r="X2" s="91"/>
      <c r="Y2" s="91"/>
      <c r="Z2" s="91"/>
    </row>
    <row r="3" ht="14.25" customHeight="1">
      <c r="A3" s="91"/>
      <c r="B3" s="91"/>
      <c r="C3" s="91"/>
      <c r="D3" s="91"/>
      <c r="E3" s="91"/>
      <c r="F3" s="91"/>
      <c r="G3" s="91"/>
      <c r="H3" s="91"/>
      <c r="I3" s="91"/>
      <c r="J3" s="91"/>
      <c r="K3" s="91"/>
      <c r="L3" s="91"/>
      <c r="M3" s="91"/>
      <c r="N3" s="91"/>
      <c r="O3" s="91"/>
      <c r="P3" s="91"/>
      <c r="Q3" s="91"/>
      <c r="R3" s="91"/>
      <c r="S3" s="91"/>
      <c r="T3" s="91"/>
      <c r="U3" s="91"/>
      <c r="V3" s="91"/>
      <c r="W3" s="91"/>
      <c r="X3" s="91"/>
      <c r="Y3" s="91"/>
      <c r="Z3" s="91"/>
    </row>
    <row r="4" ht="14.25" customHeight="1">
      <c r="A4" s="91"/>
      <c r="B4" s="91"/>
      <c r="C4" s="91"/>
      <c r="D4" s="91"/>
      <c r="E4" s="91"/>
      <c r="F4" s="91"/>
      <c r="G4" s="91"/>
      <c r="H4" s="91"/>
      <c r="I4" s="91"/>
      <c r="J4" s="91"/>
      <c r="K4" s="91"/>
      <c r="L4" s="91"/>
      <c r="M4" s="91"/>
      <c r="N4" s="91"/>
      <c r="O4" s="91"/>
      <c r="P4" s="91"/>
      <c r="Q4" s="91"/>
      <c r="R4" s="91"/>
      <c r="S4" s="91"/>
      <c r="T4" s="91"/>
      <c r="U4" s="91"/>
      <c r="V4" s="91"/>
      <c r="W4" s="91"/>
      <c r="X4" s="91"/>
      <c r="Y4" s="91"/>
      <c r="Z4" s="91"/>
    </row>
    <row r="5" ht="14.25" customHeight="1">
      <c r="A5" s="91"/>
      <c r="B5" s="91"/>
      <c r="C5" s="91"/>
      <c r="D5" s="91"/>
      <c r="E5" s="91"/>
      <c r="F5" s="91"/>
      <c r="G5" s="91"/>
      <c r="H5" s="91"/>
      <c r="I5" s="91"/>
      <c r="J5" s="91"/>
      <c r="K5" s="91"/>
      <c r="L5" s="91"/>
      <c r="M5" s="91"/>
      <c r="N5" s="91"/>
      <c r="O5" s="91"/>
      <c r="P5" s="91"/>
      <c r="Q5" s="91"/>
      <c r="R5" s="91"/>
      <c r="S5" s="91"/>
      <c r="T5" s="91"/>
      <c r="U5" s="91"/>
      <c r="V5" s="91"/>
      <c r="W5" s="91"/>
      <c r="X5" s="91"/>
      <c r="Y5" s="91"/>
      <c r="Z5" s="91"/>
    </row>
    <row r="6" ht="14.25" customHeight="1">
      <c r="A6" s="91"/>
      <c r="B6" s="91"/>
      <c r="C6" s="91"/>
      <c r="D6" s="91"/>
      <c r="E6" s="91"/>
      <c r="F6" s="91"/>
      <c r="G6" s="91"/>
      <c r="H6" s="91"/>
      <c r="I6" s="91"/>
      <c r="J6" s="91"/>
      <c r="K6" s="91"/>
      <c r="L6" s="91"/>
      <c r="M6" s="91"/>
      <c r="N6" s="91"/>
      <c r="O6" s="91"/>
      <c r="P6" s="91"/>
      <c r="Q6" s="91"/>
      <c r="R6" s="91"/>
      <c r="S6" s="91"/>
      <c r="T6" s="91"/>
      <c r="U6" s="91"/>
      <c r="V6" s="91"/>
      <c r="W6" s="91"/>
      <c r="X6" s="91"/>
      <c r="Y6" s="91"/>
      <c r="Z6" s="91"/>
    </row>
    <row r="7" ht="14.25" customHeight="1">
      <c r="A7" s="91"/>
      <c r="B7" s="91"/>
      <c r="C7" s="91"/>
      <c r="D7" s="91"/>
      <c r="E7" s="91"/>
      <c r="F7" s="91"/>
      <c r="G7" s="91"/>
      <c r="H7" s="91"/>
      <c r="I7" s="91"/>
      <c r="J7" s="91"/>
      <c r="K7" s="91"/>
      <c r="L7" s="91"/>
      <c r="M7" s="91"/>
      <c r="N7" s="91"/>
      <c r="O7" s="91"/>
      <c r="P7" s="91"/>
      <c r="Q7" s="91"/>
      <c r="R7" s="91"/>
      <c r="S7" s="91"/>
      <c r="T7" s="91"/>
      <c r="U7" s="91"/>
      <c r="V7" s="91"/>
      <c r="W7" s="91"/>
      <c r="X7" s="91"/>
      <c r="Y7" s="91"/>
      <c r="Z7" s="91"/>
    </row>
    <row r="8" ht="14.25" customHeight="1">
      <c r="A8" s="91"/>
      <c r="B8" s="91"/>
      <c r="C8" s="91"/>
      <c r="D8" s="91"/>
      <c r="E8" s="91"/>
      <c r="F8" s="91"/>
      <c r="G8" s="91"/>
      <c r="H8" s="91"/>
      <c r="I8" s="91"/>
      <c r="J8" s="91"/>
      <c r="K8" s="91"/>
      <c r="L8" s="91"/>
      <c r="M8" s="91"/>
      <c r="N8" s="91"/>
      <c r="O8" s="91"/>
      <c r="P8" s="91"/>
      <c r="Q8" s="91"/>
      <c r="R8" s="91"/>
      <c r="S8" s="91"/>
      <c r="T8" s="91"/>
      <c r="U8" s="91"/>
      <c r="V8" s="91"/>
      <c r="W8" s="91"/>
      <c r="X8" s="91"/>
      <c r="Y8" s="91"/>
      <c r="Z8" s="91"/>
    </row>
    <row r="9" ht="14.25" customHeight="1">
      <c r="A9" s="91"/>
      <c r="B9" s="91"/>
      <c r="C9" s="91"/>
      <c r="D9" s="91"/>
      <c r="E9" s="91"/>
      <c r="F9" s="91"/>
      <c r="G9" s="91"/>
      <c r="H9" s="91"/>
      <c r="I9" s="91"/>
      <c r="J9" s="91"/>
      <c r="K9" s="91"/>
      <c r="L9" s="91"/>
      <c r="M9" s="91"/>
      <c r="N9" s="91"/>
      <c r="O9" s="91"/>
      <c r="P9" s="91"/>
      <c r="Q9" s="91"/>
      <c r="R9" s="91"/>
      <c r="S9" s="91"/>
      <c r="T9" s="91"/>
      <c r="U9" s="91"/>
      <c r="V9" s="91"/>
      <c r="W9" s="91"/>
      <c r="X9" s="91"/>
      <c r="Y9" s="91"/>
      <c r="Z9" s="91"/>
    </row>
    <row r="10" ht="14.25" customHeight="1">
      <c r="A10" s="91"/>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ht="14.25" customHeight="1">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ht="14.25" customHeight="1">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ht="14.25" customHeight="1">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ht="14.25" customHeight="1">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ht="14.25" customHeight="1">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ht="14.25" customHeight="1">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ht="14.25" customHeight="1">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ht="14.25" customHeight="1">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ht="14.25" customHeight="1">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ht="14.25" customHeight="1">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ht="14.25" customHeight="1">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ht="14.25" customHeight="1">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ht="14.25" customHeight="1">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ht="14.25" customHeight="1">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ht="14.25" customHeight="1">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ht="14.25" customHeight="1">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ht="14.25" customHeight="1">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ht="14.2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ht="14.2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ht="14.2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ht="14.2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ht="14.2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ht="14.25" customHeight="1">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ht="14.25" customHeight="1">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ht="14.2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ht="14.2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ht="14.2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ht="14.2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ht="14.2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ht="14.2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ht="14.2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ht="14.2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ht="14.2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ht="14.2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ht="14.2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ht="14.2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ht="14.2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ht="14.2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ht="14.2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ht="14.2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ht="14.2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ht="14.2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ht="14.2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ht="14.2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ht="14.2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ht="14.2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ht="14.2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ht="14.2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ht="14.2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ht="14.2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ht="14.2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ht="14.2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ht="14.2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ht="14.2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ht="14.2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ht="14.2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ht="14.2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ht="14.2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ht="14.2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ht="14.2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ht="14.2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ht="14.2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ht="14.2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ht="14.2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ht="14.2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ht="14.2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ht="14.2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ht="14.2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ht="14.2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ht="14.2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ht="14.2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ht="14.2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ht="14.2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ht="14.2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ht="14.2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ht="14.2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ht="14.2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ht="14.2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ht="14.2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ht="14.2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ht="14.2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ht="14.2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ht="14.2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ht="14.2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ht="14.2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ht="14.2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ht="14.2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ht="14.2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ht="14.2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ht="14.2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4.2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4.2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4.2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4.2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4.2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4.2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4.2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4.2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4.2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4.2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4.2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4.2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4.2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4.2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4.2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4.2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4.2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4.2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4.2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4.2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4.2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4.2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4.2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4.2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4.2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4.2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4.2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4.2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4.2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4.2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4.2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4.2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4.2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4.2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4.2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4.2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4.2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4.2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4.2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4.2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4.2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4.2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4.2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4.2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4.2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4.2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4.2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4.2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4.2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4.2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4.2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4.2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4.2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4.2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4.2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4.2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4.2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4.2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4.2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4.2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4.2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4.2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4.2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4.2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4.2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4.2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4.2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4.2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4.2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4.2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4.2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4.2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4.2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4.2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4.2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4.2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4.2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4.2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4.2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4.2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4.2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4.2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4.2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4.2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4.2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4.2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4.2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4.2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4.2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4.2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4.2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4.2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4.2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4.2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4.2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4.2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4.2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4.2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4.2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4.2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4.2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4.2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4.2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4.2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4.2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4.2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4.2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4.2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4.2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4.2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4.2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4.2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4.2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4.2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4.2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4.2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4.2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4.2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4.2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4.2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4.2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4.2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4.2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4.2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4.2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4.2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4.2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4.2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4.2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4.2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4.2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4.2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4.2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4.2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4.2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4.2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4.2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4.2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4.2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4.2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4.2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4.2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4.2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4.2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4.2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4.2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4.2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4.2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4.2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4.2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4.2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4.2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4.2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4.2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4.2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4.2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4.2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4.2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4.2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4.2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4.2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4.2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4.2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4.2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4.2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4.2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4.2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4.2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4.2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4.2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4.2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4.2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4.2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4.2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4.2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4.2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4.2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4.2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4.2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4.2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4.2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4.2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4.2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4.2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4.2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4.2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4.2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4.2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4.2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4.2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4.2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4.2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4.2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4.2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4.2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4.2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4.2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4.2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4.2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4.2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4.2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4.2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4.2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4.2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4.2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4.2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4.2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4.2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4.2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4.2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4.2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4.2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4.2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4.2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4.2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4.2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4.2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4.2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4.2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4.2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4.2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4.2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4.2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4.2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4.2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4.2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4.2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4.2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4.2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4.2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4.2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4.2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4.2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4.2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4.2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4.2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4.2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4.2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4.2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4.2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4.2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4.2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4.2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4.2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4.2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4.2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4.2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4.2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4.2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4.2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4.2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4.2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4.2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4.2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4.2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4.2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4.2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4.2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4.2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4.2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4.2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4.2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4.2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4.2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4.2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4.2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4.2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4.2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4.2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4.2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4.2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4.2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4.2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4.2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4.2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4.2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4.2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4.2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4.2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4.2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4.2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4.2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4.2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4.2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4.2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4.2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4.2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4.2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4.2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4.2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4.2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4.2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4.2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4.2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4.2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4.2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4.2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4.2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4.2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4.2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4.2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4.2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4.2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4.2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4.2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4.2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4.2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4.2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4.2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4.2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4.2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4.2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4.2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4.2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4.2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4.2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4.2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4.2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4.2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4.2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4.2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4.2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4.2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4.2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4.2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4.2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4.2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4.2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4.2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4.2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4.2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4.2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4.2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4.2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4.2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4.2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4.2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4.2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4.2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4.2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4.2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4.2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4.2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4.2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4.2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4.2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4.2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4.2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4.2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4.2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4.2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4.2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4.2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4.2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4.2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4.2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4.2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4.2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4.2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4.2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4.2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4.2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4.2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4.2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4.2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4.2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4.2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4.2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4.2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4.2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4.2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4.2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4.2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4.2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4.2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4.2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4.2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4.2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4.2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4.2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4.2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4.2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4.2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4.2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4.2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4.2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4.2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4.2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4.2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4.2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4.2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4.2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4.2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4.2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4.2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4.2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4.2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4.2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4.2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4.2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4.2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4.2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4.2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4.2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4.2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4.2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4.2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4.2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4.2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4.2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4.2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4.2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4.2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4.2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4.2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4.2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4.2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4.2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4.2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4.2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4.2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4.2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4.2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4.2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4.2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4.2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4.2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4.2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4.2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4.2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4.2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4.2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4.2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4.2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4.2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4.2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4.2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4.2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4.2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4.2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4.2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4.2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4.2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4.2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4.2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4.2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4.2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4.2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4.2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4.2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4.2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4.2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4.2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4.2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4.2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4.2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4.2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4.2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4.2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4.2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4.2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4.2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4.2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4.2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4.2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4.2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4.2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4.2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4.2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4.2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4.2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4.2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4.2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4.2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4.2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4.2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4.2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4.2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4.2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4.2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4.2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4.2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4.2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4.2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4.2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4.2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4.2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4.2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4.2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4.2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4.2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4.2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4.2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4.2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4.2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4.2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4.2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4.2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4.2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4.2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4.2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4.2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4.2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4.2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4.2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4.2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4.2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4.2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4.2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4.2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4.2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4.2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4.2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4.2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4.2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4.2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4.2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4.2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4.2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4.2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4.2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4.2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4.2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4.2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4.2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4.2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4.2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4.2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4.2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4.2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4.2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4.2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4.2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4.2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4.2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4.2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4.2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4.2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4.2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4.2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4.2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4.2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4.2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4.2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4.2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4.2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4.2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4.2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4.2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4.2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4.2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4.2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4.2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4.2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4.2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4.2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4.2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4.2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4.2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4.2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4.2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4.2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4.2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4.2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4.2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4.2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4.2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4.2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4.2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4.2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4.2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4.2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4.2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4.2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4.2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4.2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4.2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4.2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4.2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4.2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4.2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4.2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4.2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4.2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4.2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4.2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4.2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4.2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4.2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4.2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4.2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4.2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4.2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4.2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4.2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4.2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4.2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4.2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4.2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4.2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4.2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4.2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4.2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4.2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4.2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4.2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4.2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4.2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4.2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4.2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4.2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4.2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4.2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4.2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4.2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4.2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4.2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4.2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4.2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4.2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4.2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4.2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4.2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4.2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4.2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4.2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4.2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4.2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4.2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4.2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4.2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4.2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4.2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4.2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4.2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4.2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4.2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4.2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4.2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4.2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4.2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4.2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4.2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4.2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4.2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4.2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4.2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4.2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4.2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4.2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4.2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4.2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4.2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4.2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4.2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4.2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4.2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4.2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4.2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4.2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4.2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4.2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4.2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4.2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4.2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4.2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4.2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4.2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4.2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4.2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4.2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4.2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4.2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4.2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4.2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4.2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4.2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4.2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4.2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4.2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4.2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4.2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4.2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4.2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4.2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4.2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4.2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4.2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4.2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4.2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4.2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4.2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4.2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4.2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4.2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4.2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4.2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4.2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4.2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4.2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4.2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4.2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4.2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4.2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4.2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4.2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4.2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4.2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4.2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4.2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4.2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4.2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4.2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4.2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4.2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4.2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4.2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4.2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4.2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4.2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4.2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4.2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4.2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4.2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4.2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4.2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4.2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4.2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4.2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4.2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4.2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4.2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4.2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4.2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4.2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4.2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4.2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4.2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4.2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4.2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4.2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4.2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4.2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4.2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4.2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4.2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4.2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4.2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4.2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4.2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4.2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4.2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4.2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4.2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4.2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4.2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4.2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4.2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4.2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4.2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4.2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4.2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4.2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4.2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4.2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4.2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4.2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4.2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4.2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4.2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4.2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4.2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4.2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4.2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4.2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4.2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4.2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4.2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4.2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4.2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4.2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4.2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4.2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4.2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4.2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4.2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4.2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4.2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4.2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4.2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4.2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4.2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4.2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4.2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4.2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4.2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4.2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4.2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4.2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4.2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4.2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4.2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4.2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4.2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4.2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4.2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4.2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4.2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4.2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4.2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4.2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4.2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4.2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4.2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4.2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4.2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4.2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4.2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4.2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4.2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4.2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4.2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4.2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4.2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4.2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4.2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4.2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4.2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4.2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4.2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4.2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4.2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4.2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4.2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4.2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4.2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4.2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4.2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4.2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4.2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4.2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4.2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4.2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4.2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4.2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4.2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4.2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4.2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4.2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4.2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4.2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4.2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4.2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4.2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4.2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4.2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4.2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4.2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4.2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4.2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4.2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4.2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4.2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4.2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4.2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4.2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4.2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4.2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4.2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4.2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4.2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4.2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4.2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4.2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4.2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4.2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4.2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4.2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4.2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4.2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4.2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4.2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4.2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4.2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4.2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4.2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4.2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4.2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4.2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4.2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4.2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4.2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4.2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4.2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4.2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4.2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4.2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4.2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4.2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4.2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rintOptions/>
  <pageMargins bottom="0.75" footer="0.0" header="0.0" left="0.7" right="0.7" top="0.75"/>
  <pageSetup orientation="landscape"/>
  <drawing r:id="rId1"/>
</worksheet>
</file>